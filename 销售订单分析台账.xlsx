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9499\Downloads\"/>
    </mc:Choice>
  </mc:AlternateContent>
  <xr:revisionPtr revIDLastSave="0" documentId="13_ncr:1_{1BFBFB85-3D1C-4676-981B-843985CCB4B6}" xr6:coauthVersionLast="47" xr6:coauthVersionMax="47" xr10:uidLastSave="{00000000-0000-0000-0000-000000000000}"/>
  <bookViews>
    <workbookView xWindow="-98" yWindow="-98" windowWidth="19095" windowHeight="12075" activeTab="5" xr2:uid="{00000000-000D-0000-FFFF-FFFF00000000}"/>
  </bookViews>
  <sheets>
    <sheet name="Sheet1" sheetId="7" r:id="rId1"/>
    <sheet name="原始数据" sheetId="2" r:id="rId2"/>
    <sheet name="清洗规整数据" sheetId="3" r:id="rId3"/>
    <sheet name="异常数据" sheetId="4" r:id="rId4"/>
    <sheet name="统计汇总台账" sheetId="5" r:id="rId5"/>
    <sheet name="月度复盘分析" sheetId="6" r:id="rId6"/>
  </sheets>
  <definedNames>
    <definedName name="_xlnm._FilterDatabase" localSheetId="2" hidden="1">清洗规整数据!$A$1:$M$59</definedName>
    <definedName name="_xlnm._FilterDatabase" localSheetId="3" hidden="1">异常数据!$A$21:$K$22</definedName>
    <definedName name="_xlnm._FilterDatabase" localSheetId="1" hidden="1">原始数据!$A$1:$K$63</definedName>
  </definedNames>
  <calcPr calcId="191029"/>
  <pivotCaches>
    <pivotCache cacheId="1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9" i="5" l="1"/>
  <c r="C38" i="5"/>
  <c r="B38" i="5"/>
  <c r="C37" i="5"/>
  <c r="B37" i="5"/>
  <c r="C36" i="5"/>
  <c r="B36" i="5"/>
  <c r="C35" i="5"/>
  <c r="B35" i="5"/>
  <c r="C34" i="5"/>
  <c r="B34" i="5"/>
  <c r="E29" i="5"/>
  <c r="E8" i="6" s="1"/>
  <c r="D29" i="5"/>
  <c r="C29" i="5"/>
  <c r="C8" i="6" s="1"/>
  <c r="B29" i="5"/>
  <c r="E28" i="5"/>
  <c r="E7" i="6" s="1"/>
  <c r="D28" i="5"/>
  <c r="C28" i="5"/>
  <c r="C7" i="6" s="1"/>
  <c r="B28" i="5"/>
  <c r="E27" i="5"/>
  <c r="D27" i="5"/>
  <c r="C27" i="5"/>
  <c r="B27" i="5"/>
  <c r="E22" i="5"/>
  <c r="D22" i="5"/>
  <c r="F22" i="5" s="1"/>
  <c r="C22" i="5"/>
  <c r="B22" i="5"/>
  <c r="G22" i="5" s="1"/>
  <c r="E21" i="5"/>
  <c r="D21" i="5"/>
  <c r="F21" i="5" s="1"/>
  <c r="C21" i="5"/>
  <c r="B21" i="5"/>
  <c r="E20" i="5"/>
  <c r="D20" i="5"/>
  <c r="F20" i="5" s="1"/>
  <c r="C20" i="5"/>
  <c r="B20" i="5"/>
  <c r="E19" i="5"/>
  <c r="D19" i="5"/>
  <c r="F19" i="5" s="1"/>
  <c r="C19" i="5"/>
  <c r="B19" i="5"/>
  <c r="G19" i="5" s="1"/>
  <c r="E18" i="5"/>
  <c r="D18" i="5"/>
  <c r="F18" i="5" s="1"/>
  <c r="C18" i="5"/>
  <c r="B18" i="5"/>
  <c r="G18" i="5" s="1"/>
  <c r="E17" i="5"/>
  <c r="D17" i="5"/>
  <c r="C17" i="5"/>
  <c r="B17" i="5"/>
  <c r="E16" i="5"/>
  <c r="D16" i="5"/>
  <c r="F16" i="5" s="1"/>
  <c r="C16" i="5"/>
  <c r="B16" i="5"/>
  <c r="G16" i="5" s="1"/>
  <c r="E15" i="5"/>
  <c r="D15" i="5"/>
  <c r="C15" i="5"/>
  <c r="B15" i="5"/>
  <c r="E10" i="5"/>
  <c r="D10" i="5"/>
  <c r="F10" i="5" s="1"/>
  <c r="C10" i="5"/>
  <c r="B10" i="5"/>
  <c r="G10" i="5" s="1"/>
  <c r="E9" i="5"/>
  <c r="D9" i="5"/>
  <c r="F9" i="5" s="1"/>
  <c r="C9" i="5"/>
  <c r="B9" i="5"/>
  <c r="G9" i="5" s="1"/>
  <c r="E8" i="5"/>
  <c r="D8" i="5"/>
  <c r="F8" i="5" s="1"/>
  <c r="C8" i="5"/>
  <c r="B8" i="5"/>
  <c r="G8" i="5" s="1"/>
  <c r="E7" i="5"/>
  <c r="D7" i="5"/>
  <c r="F7" i="5" s="1"/>
  <c r="C7" i="5"/>
  <c r="B7" i="5"/>
  <c r="G7" i="5" s="1"/>
  <c r="E6" i="5"/>
  <c r="D6" i="5"/>
  <c r="F6" i="5" s="1"/>
  <c r="C6" i="5"/>
  <c r="B6" i="5"/>
  <c r="G6" i="5" s="1"/>
  <c r="E5" i="5"/>
  <c r="E11" i="5" s="1"/>
  <c r="D5" i="5"/>
  <c r="C5" i="5"/>
  <c r="C11" i="5" s="1"/>
  <c r="B5" i="5"/>
  <c r="G21" i="5" l="1"/>
  <c r="E23" i="5"/>
  <c r="C23" i="5"/>
  <c r="B39" i="5"/>
  <c r="G20" i="5"/>
  <c r="C39" i="5"/>
  <c r="D38" i="5"/>
  <c r="D37" i="5"/>
  <c r="D36" i="5"/>
  <c r="D35" i="5"/>
  <c r="D8" i="6"/>
  <c r="F29" i="5"/>
  <c r="F8" i="6" s="1"/>
  <c r="B8" i="6"/>
  <c r="G29" i="5"/>
  <c r="G8" i="6" s="1"/>
  <c r="F28" i="5"/>
  <c r="D7" i="6"/>
  <c r="G28" i="5"/>
  <c r="G7" i="6" s="1"/>
  <c r="B7" i="6"/>
  <c r="E6" i="6"/>
  <c r="E30" i="5"/>
  <c r="D6" i="6"/>
  <c r="D9" i="6"/>
  <c r="D30" i="5"/>
  <c r="F27" i="5"/>
  <c r="F6" i="6" s="1"/>
  <c r="C6" i="6"/>
  <c r="C30" i="5"/>
  <c r="B30" i="5"/>
  <c r="G30" i="5" s="1"/>
  <c r="B6" i="6"/>
  <c r="B9" i="6"/>
  <c r="G27" i="5"/>
  <c r="G6" i="6" s="1"/>
  <c r="G17" i="5"/>
  <c r="F17" i="5"/>
  <c r="D23" i="5"/>
  <c r="F23" i="5" s="1"/>
  <c r="F15" i="5"/>
  <c r="B23" i="5"/>
  <c r="G23" i="5" s="1"/>
  <c r="G15" i="5"/>
  <c r="F5" i="5"/>
  <c r="D11" i="5"/>
  <c r="F11" i="5" s="1"/>
  <c r="G5" i="5"/>
  <c r="B11" i="5"/>
  <c r="G11" i="5" s="1"/>
  <c r="F7" i="6" l="1"/>
  <c r="F9" i="6"/>
  <c r="F30" i="5"/>
  <c r="D34" i="5"/>
</calcChain>
</file>

<file path=xl/sharedStrings.xml><?xml version="1.0" encoding="utf-8"?>
<sst xmlns="http://schemas.openxmlformats.org/spreadsheetml/2006/main" count="953" uniqueCount="953">
  <si>
    <t>日期</t>
  </si>
  <si>
    <t>订单编号</t>
  </si>
  <si>
    <t>销售渠道</t>
  </si>
  <si>
    <t>商品名称</t>
  </si>
  <si>
    <t>销售数量</t>
  </si>
  <si>
    <t>单价</t>
  </si>
  <si>
    <t>总金额</t>
  </si>
  <si>
    <t>是否活动</t>
  </si>
  <si>
    <t>活动类型</t>
  </si>
  <si>
    <t>是否退款</t>
  </si>
  <si>
    <t>退款金额</t>
  </si>
  <si>
    <t>ORD-20260703-364</t>
  </si>
  <si>
    <t>天猫旗舰店</t>
  </si>
  <si>
    <t>智能保温杯</t>
  </si>
  <si>
    <t>是</t>
  </si>
  <si>
    <t>优惠券</t>
  </si>
  <si>
    <t>否</t>
  </si>
  <si>
    <t>ORD-20260817-434</t>
  </si>
  <si>
    <t>线下门店</t>
  </si>
  <si>
    <t>智能保温杯</t>
  </si>
  <si>
    <t>是</t>
  </si>
  <si>
    <t>直播特惠</t>
  </si>
  <si>
    <t>否</t>
  </si>
  <si>
    <t>ORD-20260815-257</t>
  </si>
  <si>
    <t>抖音直播</t>
  </si>
  <si>
    <t>折叠雨伞</t>
  </si>
  <si>
    <t>是</t>
  </si>
  <si>
    <t>满减</t>
  </si>
  <si>
    <t>否</t>
  </si>
  <si>
    <t>ORD-20260713-442</t>
  </si>
  <si>
    <t>抖音直播</t>
  </si>
  <si>
    <t>便携榨汁杯</t>
  </si>
  <si>
    <t>是</t>
  </si>
  <si>
    <t>秒杀</t>
  </si>
  <si>
    <t>否</t>
  </si>
  <si>
    <t>ORD-20260803-374</t>
  </si>
  <si>
    <t>天猫旗舰店</t>
  </si>
  <si>
    <t>电动牙刷</t>
  </si>
  <si>
    <t>是</t>
  </si>
  <si>
    <t>直播特惠</t>
  </si>
  <si>
    <t>否</t>
  </si>
  <si>
    <t>ORD-20260803-590</t>
  </si>
  <si>
    <t>拼多多</t>
  </si>
  <si>
    <t>瑜伽垫</t>
  </si>
  <si>
    <t>否</t>
  </si>
  <si>
    <t>无</t>
  </si>
  <si>
    <t>否</t>
  </si>
  <si>
    <t>ORD-20260805-384</t>
  </si>
  <si>
    <t>拼多多</t>
  </si>
  <si>
    <t>运动水壶</t>
  </si>
  <si>
    <t>是</t>
  </si>
  <si>
    <t>满减</t>
  </si>
  <si>
    <t>否</t>
  </si>
  <si>
    <t>ORD-20260918-419</t>
  </si>
  <si>
    <t>线下门店</t>
  </si>
  <si>
    <t>折叠雨伞</t>
  </si>
  <si>
    <t>是</t>
  </si>
  <si>
    <t>优惠券</t>
  </si>
  <si>
    <t>否</t>
  </si>
  <si>
    <t>ORD-20260920-726</t>
  </si>
  <si>
    <t>天猫旗舰店</t>
  </si>
  <si>
    <t>电动牙刷</t>
  </si>
  <si>
    <t>否</t>
  </si>
  <si>
    <t>无</t>
  </si>
  <si>
    <t>是</t>
  </si>
  <si>
    <t>ORD-20260714-827</t>
  </si>
  <si>
    <t>天猫旗舰店</t>
  </si>
  <si>
    <t>20000mAh充电宝</t>
  </si>
  <si>
    <t>是</t>
  </si>
  <si>
    <t>秒杀</t>
  </si>
  <si>
    <t>否</t>
  </si>
  <si>
    <t>ORD-20260815-773</t>
  </si>
  <si>
    <t>微信小程序</t>
  </si>
  <si>
    <t>无线蓝牙耳机</t>
  </si>
  <si>
    <t>是</t>
  </si>
  <si>
    <t>直播特惠</t>
  </si>
  <si>
    <t>否</t>
  </si>
  <si>
    <t>ORD-20260722-697</t>
  </si>
  <si>
    <t>微信小程序</t>
  </si>
  <si>
    <t>无线蓝牙耳机</t>
  </si>
  <si>
    <t>是</t>
  </si>
  <si>
    <t>优惠券</t>
  </si>
  <si>
    <t>否</t>
  </si>
  <si>
    <t>ORD-20260820-255</t>
  </si>
  <si>
    <t>微信小程序</t>
  </si>
  <si>
    <t>便携榨汁杯</t>
  </si>
  <si>
    <t>是</t>
  </si>
  <si>
    <t>秒杀</t>
  </si>
  <si>
    <t>否</t>
  </si>
  <si>
    <t>ORD-20260921-989</t>
  </si>
  <si>
    <t>微信小程序</t>
  </si>
  <si>
    <t>折叠雨伞</t>
  </si>
  <si>
    <t>否</t>
  </si>
  <si>
    <t>无</t>
  </si>
  <si>
    <t>是</t>
  </si>
  <si>
    <t>ORD-20260802-478</t>
  </si>
  <si>
    <t>拼多多</t>
  </si>
  <si>
    <t>折叠雨伞</t>
  </si>
  <si>
    <t>是</t>
  </si>
  <si>
    <t>直播特惠</t>
  </si>
  <si>
    <t>否</t>
  </si>
  <si>
    <t>ORD-20260716-657</t>
  </si>
  <si>
    <t>抖音直播</t>
  </si>
  <si>
    <t>智能保温杯</t>
  </si>
  <si>
    <t>是</t>
  </si>
  <si>
    <t>秒杀</t>
  </si>
  <si>
    <t>是</t>
  </si>
  <si>
    <t>ORD-20260711-965</t>
  </si>
  <si>
    <t>微信小程序</t>
  </si>
  <si>
    <t>20000mAh充电宝</t>
  </si>
  <si>
    <t>是</t>
  </si>
  <si>
    <t>秒杀</t>
  </si>
  <si>
    <t>否</t>
  </si>
  <si>
    <t>ORD-20260820-786</t>
  </si>
  <si>
    <t>线下门店</t>
  </si>
  <si>
    <t>折叠雨伞</t>
  </si>
  <si>
    <t>是</t>
  </si>
  <si>
    <t>优惠券</t>
  </si>
  <si>
    <t>否</t>
  </si>
  <si>
    <t>ORD-20260906-141</t>
  </si>
  <si>
    <t>天猫旗舰店</t>
  </si>
  <si>
    <t>运动水壶</t>
  </si>
  <si>
    <t>否</t>
  </si>
  <si>
    <t>无</t>
  </si>
  <si>
    <t>否</t>
  </si>
  <si>
    <t>ORD-20260829-826</t>
  </si>
  <si>
    <t>线下门店</t>
  </si>
  <si>
    <t>便携榨汁杯</t>
  </si>
  <si>
    <t>是</t>
  </si>
  <si>
    <t>直播特惠</t>
  </si>
  <si>
    <t>否</t>
  </si>
  <si>
    <t>ORD-20260919-176</t>
  </si>
  <si>
    <t>微信小程序</t>
  </si>
  <si>
    <t>智能保温杯</t>
  </si>
  <si>
    <t>是</t>
  </si>
  <si>
    <t>直播特惠</t>
  </si>
  <si>
    <t>否</t>
  </si>
  <si>
    <t>ORD-20260801-696</t>
  </si>
  <si>
    <t>拼多多</t>
  </si>
  <si>
    <t>运动水壶</t>
  </si>
  <si>
    <t>否</t>
  </si>
  <si>
    <t>无</t>
  </si>
  <si>
    <t>否</t>
  </si>
  <si>
    <t>ORD-20260718-768</t>
  </si>
  <si>
    <t>天猫旗舰店</t>
  </si>
  <si>
    <t>无线蓝牙耳机</t>
  </si>
  <si>
    <t>否</t>
  </si>
  <si>
    <t>无</t>
  </si>
  <si>
    <t>是</t>
  </si>
  <si>
    <t>ORD-20260719-159</t>
  </si>
  <si>
    <t>天猫旗舰店</t>
  </si>
  <si>
    <t>电动牙刷</t>
  </si>
  <si>
    <t>是</t>
  </si>
  <si>
    <t>优惠券</t>
  </si>
  <si>
    <t>否</t>
  </si>
  <si>
    <t>ORD-20260820-255</t>
  </si>
  <si>
    <t>微信小程序</t>
  </si>
  <si>
    <t>便携榨汁杯</t>
  </si>
  <si>
    <t>是</t>
  </si>
  <si>
    <t>秒杀</t>
  </si>
  <si>
    <t>否</t>
  </si>
  <si>
    <t>ORD-20260830-869</t>
  </si>
  <si>
    <t>线下门店</t>
  </si>
  <si>
    <t>便携榨汁杯</t>
  </si>
  <si>
    <t>是</t>
  </si>
  <si>
    <t>优惠券</t>
  </si>
  <si>
    <t>否</t>
  </si>
  <si>
    <t>ORD-20260914-444</t>
  </si>
  <si>
    <t>线下门店</t>
  </si>
  <si>
    <t>20000mAh充电宝</t>
  </si>
  <si>
    <t>否</t>
  </si>
  <si>
    <t>无</t>
  </si>
  <si>
    <t>否</t>
  </si>
  <si>
    <t>ORD-20260830-415</t>
  </si>
  <si>
    <t>线下门店</t>
  </si>
  <si>
    <t>20000mAh充电宝</t>
  </si>
  <si>
    <t>否</t>
  </si>
  <si>
    <t>无</t>
  </si>
  <si>
    <t>否</t>
  </si>
  <si>
    <t>ORD-20260910-802</t>
  </si>
  <si>
    <t>抖音直播</t>
  </si>
  <si>
    <t>20000mAh充电宝</t>
  </si>
  <si>
    <t>是</t>
  </si>
  <si>
    <t>满减</t>
  </si>
  <si>
    <t>是</t>
  </si>
  <si>
    <t>ORD-20260727-990</t>
  </si>
  <si>
    <t>拼多多</t>
  </si>
  <si>
    <t>无线蓝牙耳机</t>
  </si>
  <si>
    <t>是</t>
  </si>
  <si>
    <t>秒杀</t>
  </si>
  <si>
    <t>否</t>
  </si>
  <si>
    <t>ORD-20260809-946</t>
  </si>
  <si>
    <t>京东自营</t>
  </si>
  <si>
    <t>瑜伽垫</t>
  </si>
  <si>
    <t>否</t>
  </si>
  <si>
    <t>无</t>
  </si>
  <si>
    <t>否</t>
  </si>
  <si>
    <t>ORD-20260717-275</t>
  </si>
  <si>
    <t>微信小程序</t>
  </si>
  <si>
    <t>无线蓝牙耳机</t>
  </si>
  <si>
    <t>是</t>
  </si>
  <si>
    <t>满减</t>
  </si>
  <si>
    <t>否</t>
  </si>
  <si>
    <t>ORD-20260813-886</t>
  </si>
  <si>
    <t>抖音直播</t>
  </si>
  <si>
    <t>电动牙刷</t>
  </si>
  <si>
    <t>否</t>
  </si>
  <si>
    <t>无</t>
  </si>
  <si>
    <t>否</t>
  </si>
  <si>
    <t>ORD-20260901-239</t>
  </si>
  <si>
    <t>线下门店</t>
  </si>
  <si>
    <t>20000mAh充电宝</t>
  </si>
  <si>
    <t>是</t>
  </si>
  <si>
    <t>满减</t>
  </si>
  <si>
    <t>否</t>
  </si>
  <si>
    <t>ORD-20260914-128</t>
  </si>
  <si>
    <t>京东自营</t>
  </si>
  <si>
    <t>无线蓝牙耳机</t>
  </si>
  <si>
    <t>是</t>
  </si>
  <si>
    <t>直播特惠</t>
  </si>
  <si>
    <t>否</t>
  </si>
  <si>
    <t>ORD-20260925-628</t>
  </si>
  <si>
    <t>抖音直播</t>
  </si>
  <si>
    <t>无线蓝牙耳机</t>
  </si>
  <si>
    <t>否</t>
  </si>
  <si>
    <t>无</t>
  </si>
  <si>
    <t>是</t>
  </si>
  <si>
    <t>ORD-20260902-984</t>
  </si>
  <si>
    <t>微信小程序</t>
  </si>
  <si>
    <t>无线蓝牙耳机</t>
  </si>
  <si>
    <t>否</t>
  </si>
  <si>
    <t>无</t>
  </si>
  <si>
    <t>否</t>
  </si>
  <si>
    <t>ORD-20260922-577</t>
  </si>
  <si>
    <t>拼多多</t>
  </si>
  <si>
    <t>是</t>
  </si>
  <si>
    <t>优惠券</t>
  </si>
  <si>
    <t>否</t>
  </si>
  <si>
    <t>2026/09/02</t>
  </si>
  <si>
    <t>ORD-20260902-559</t>
  </si>
  <si>
    <t>线下门店</t>
  </si>
  <si>
    <t>运动水壶</t>
  </si>
  <si>
    <t>否</t>
  </si>
  <si>
    <t>无</t>
  </si>
  <si>
    <t>否</t>
  </si>
  <si>
    <t>ORD-20260823-470</t>
  </si>
  <si>
    <t>线下门店</t>
  </si>
  <si>
    <t>电动牙刷</t>
  </si>
  <si>
    <t>是</t>
  </si>
  <si>
    <t>秒杀</t>
  </si>
  <si>
    <t>否</t>
  </si>
  <si>
    <t>ORD-20260827-691</t>
  </si>
  <si>
    <t>天猫旗舰店</t>
  </si>
  <si>
    <t>无线蓝牙耳机</t>
  </si>
  <si>
    <t>是</t>
  </si>
  <si>
    <t>优惠券</t>
  </si>
  <si>
    <t>否</t>
  </si>
  <si>
    <t>ORD-20260723-753</t>
  </si>
  <si>
    <t>微信小程序</t>
  </si>
  <si>
    <t>便携榨汁杯</t>
  </si>
  <si>
    <t>是</t>
  </si>
  <si>
    <t>直播特惠</t>
  </si>
  <si>
    <t>否</t>
  </si>
  <si>
    <t>ORD-20260715-442</t>
  </si>
  <si>
    <t>线下门店</t>
  </si>
  <si>
    <t>电动牙刷</t>
  </si>
  <si>
    <t>否</t>
  </si>
  <si>
    <t>无</t>
  </si>
  <si>
    <t>否</t>
  </si>
  <si>
    <t>ORD-20260928-925</t>
  </si>
  <si>
    <t>京东自营</t>
  </si>
  <si>
    <t>无线蓝牙耳机</t>
  </si>
  <si>
    <t>是</t>
  </si>
  <si>
    <t>优惠券</t>
  </si>
  <si>
    <t>否</t>
  </si>
  <si>
    <t>ORD-20260801-159</t>
  </si>
  <si>
    <t>天猫旗舰店</t>
  </si>
  <si>
    <t>瑜伽垫</t>
  </si>
  <si>
    <t>否</t>
  </si>
  <si>
    <t>无</t>
  </si>
  <si>
    <t>否</t>
  </si>
  <si>
    <t>ORD-20260921-714</t>
  </si>
  <si>
    <t>天猫旗舰店</t>
  </si>
  <si>
    <t>运动水壶</t>
  </si>
  <si>
    <t>是</t>
  </si>
  <si>
    <t>优惠券</t>
  </si>
  <si>
    <t>否</t>
  </si>
  <si>
    <t>ORD-20260828-669</t>
  </si>
  <si>
    <t>天猫旗舰店</t>
  </si>
  <si>
    <t>智能保温杯</t>
  </si>
  <si>
    <t>否</t>
  </si>
  <si>
    <t>无</t>
  </si>
  <si>
    <t>否</t>
  </si>
  <si>
    <t>ORD-20260709-184</t>
  </si>
  <si>
    <t>天猫旗舰店</t>
  </si>
  <si>
    <t>20000mAh充电宝</t>
  </si>
  <si>
    <t>否</t>
  </si>
  <si>
    <t>无</t>
  </si>
  <si>
    <t>是</t>
  </si>
  <si>
    <t>ORD-20260901-855</t>
  </si>
  <si>
    <t>抖音直播</t>
  </si>
  <si>
    <t>电动牙刷</t>
  </si>
  <si>
    <t>是</t>
  </si>
  <si>
    <t>直播特惠</t>
  </si>
  <si>
    <t>否</t>
  </si>
  <si>
    <t>ORD-20260909-411</t>
  </si>
  <si>
    <t>抖音直播</t>
  </si>
  <si>
    <t>运动水壶</t>
  </si>
  <si>
    <t>否</t>
  </si>
  <si>
    <t>无</t>
  </si>
  <si>
    <t>否</t>
  </si>
  <si>
    <t>ORD-20260917-819</t>
  </si>
  <si>
    <t>微信小程序</t>
  </si>
  <si>
    <t>20000mAh充电宝</t>
  </si>
  <si>
    <t>是</t>
  </si>
  <si>
    <t>直播特惠</t>
  </si>
  <si>
    <t>否</t>
  </si>
  <si>
    <t>ORD-20260814-179</t>
  </si>
  <si>
    <t>天猫旗舰店</t>
  </si>
  <si>
    <t>智能保温杯</t>
  </si>
  <si>
    <t>是</t>
  </si>
  <si>
    <t>直播特惠</t>
  </si>
  <si>
    <t>否</t>
  </si>
  <si>
    <t>ORD-20260812-816</t>
  </si>
  <si>
    <t>京东自营</t>
  </si>
  <si>
    <t>电动牙刷</t>
  </si>
  <si>
    <t>是</t>
  </si>
  <si>
    <t>优惠券</t>
  </si>
  <si>
    <t>否</t>
  </si>
  <si>
    <t>ORD-20260805-470</t>
  </si>
  <si>
    <t>抖音直播</t>
  </si>
  <si>
    <t>瑜伽垫</t>
  </si>
  <si>
    <t>否</t>
  </si>
  <si>
    <t>无</t>
  </si>
  <si>
    <t>否</t>
  </si>
  <si>
    <t>ORD-20260801-781</t>
  </si>
  <si>
    <t>微信小程序</t>
  </si>
  <si>
    <t>折叠雨伞</t>
  </si>
  <si>
    <t>是</t>
  </si>
  <si>
    <t>秒杀</t>
  </si>
  <si>
    <t>否</t>
  </si>
  <si>
    <t>ORD-20260914-588</t>
  </si>
  <si>
    <t>微信小程序</t>
  </si>
  <si>
    <t>20000mAh充电宝</t>
  </si>
  <si>
    <t>是</t>
  </si>
  <si>
    <t>满减</t>
  </si>
  <si>
    <t>否</t>
  </si>
  <si>
    <t>ORD-20260918-203</t>
  </si>
  <si>
    <t>京东自营</t>
  </si>
  <si>
    <t>便携榨汁杯</t>
  </si>
  <si>
    <t>是</t>
  </si>
  <si>
    <t>满减</t>
  </si>
  <si>
    <t>否</t>
  </si>
  <si>
    <t>ORD-20260906-217</t>
  </si>
  <si>
    <t>天猫旗舰店</t>
  </si>
  <si>
    <t>运动水壶</t>
  </si>
  <si>
    <t>否</t>
  </si>
  <si>
    <t>无</t>
  </si>
  <si>
    <t>否</t>
  </si>
  <si>
    <t>ORD-20260814-847</t>
  </si>
  <si>
    <t>京东自营</t>
  </si>
  <si>
    <t>瑜伽垫</t>
  </si>
  <si>
    <t>是</t>
  </si>
  <si>
    <t>秒杀</t>
  </si>
  <si>
    <t>否</t>
  </si>
  <si>
    <t>ORD-20260820-548</t>
  </si>
  <si>
    <t>微信小程序</t>
  </si>
  <si>
    <t>无线蓝牙耳机</t>
  </si>
  <si>
    <t>是</t>
  </si>
  <si>
    <t>满减</t>
  </si>
  <si>
    <t>否</t>
  </si>
  <si>
    <t>ORD-20260705-391</t>
  </si>
  <si>
    <t>抖音直播</t>
  </si>
  <si>
    <t>智能保温杯</t>
  </si>
  <si>
    <t>是</t>
  </si>
  <si>
    <t>直播特惠</t>
  </si>
  <si>
    <t>否</t>
  </si>
  <si>
    <t>ORD-20260915-813</t>
  </si>
  <si>
    <t>天猫旗舰店</t>
  </si>
  <si>
    <t>折叠雨伞</t>
  </si>
  <si>
    <t>否</t>
  </si>
  <si>
    <t>无</t>
  </si>
  <si>
    <t>否</t>
  </si>
  <si>
    <t>订单编号</t>
  </si>
  <si>
    <t>销售渠道</t>
  </si>
  <si>
    <t>商品名称</t>
  </si>
  <si>
    <t>销售数量</t>
  </si>
  <si>
    <t>单价</t>
  </si>
  <si>
    <t>总金额</t>
  </si>
  <si>
    <t>是否活动</t>
  </si>
  <si>
    <t>活动类型</t>
  </si>
  <si>
    <t>是否退款</t>
  </si>
  <si>
    <t>退款金额</t>
  </si>
  <si>
    <t>月份</t>
  </si>
  <si>
    <t>清洗备注</t>
  </si>
  <si>
    <t>ORD-20260703-364</t>
  </si>
  <si>
    <t>天猫旗舰店</t>
  </si>
  <si>
    <t>智能保温杯</t>
  </si>
  <si>
    <t>是</t>
  </si>
  <si>
    <t>优惠券</t>
  </si>
  <si>
    <t>否</t>
  </si>
  <si>
    <t>2026-07</t>
  </si>
  <si>
    <t>ORD-20260817-434</t>
  </si>
  <si>
    <t>线下门店</t>
  </si>
  <si>
    <t>智能保温杯</t>
  </si>
  <si>
    <t>是</t>
  </si>
  <si>
    <t>直播特惠</t>
  </si>
  <si>
    <t>否</t>
  </si>
  <si>
    <t>2026-08</t>
  </si>
  <si>
    <t>ORD-20260815-257</t>
  </si>
  <si>
    <t>抖音直播</t>
  </si>
  <si>
    <t>折叠雨伞</t>
  </si>
  <si>
    <t>是</t>
  </si>
  <si>
    <t>满减</t>
  </si>
  <si>
    <t>否</t>
  </si>
  <si>
    <t>2026-08</t>
  </si>
  <si>
    <t>ORD-20260713-442</t>
  </si>
  <si>
    <t>抖音直播</t>
  </si>
  <si>
    <t>便携榨汁杯</t>
  </si>
  <si>
    <t>是</t>
  </si>
  <si>
    <t>秒杀</t>
  </si>
  <si>
    <t>否</t>
  </si>
  <si>
    <t>2026-07</t>
  </si>
  <si>
    <t>ORD-20260803-374</t>
  </si>
  <si>
    <t>天猫旗舰店</t>
  </si>
  <si>
    <t>电动牙刷</t>
  </si>
  <si>
    <t>是</t>
  </si>
  <si>
    <t>直播特惠</t>
  </si>
  <si>
    <t>否</t>
  </si>
  <si>
    <t>2026-08</t>
  </si>
  <si>
    <t>ORD-20260805-384</t>
  </si>
  <si>
    <t>拼多多</t>
  </si>
  <si>
    <t>运动水壶</t>
  </si>
  <si>
    <t>是</t>
  </si>
  <si>
    <t>满减</t>
  </si>
  <si>
    <t>否</t>
  </si>
  <si>
    <t>2026-08</t>
  </si>
  <si>
    <t>ORD-20260918-419</t>
  </si>
  <si>
    <t>线下门店</t>
  </si>
  <si>
    <t>折叠雨伞</t>
  </si>
  <si>
    <t>是</t>
  </si>
  <si>
    <t>优惠券</t>
  </si>
  <si>
    <t>否</t>
  </si>
  <si>
    <t>2026-09</t>
  </si>
  <si>
    <t>ORD-20260920-726</t>
  </si>
  <si>
    <t>天猫旗舰店</t>
  </si>
  <si>
    <t>电动牙刷</t>
  </si>
  <si>
    <t>否</t>
  </si>
  <si>
    <t>无</t>
  </si>
  <si>
    <t>是</t>
  </si>
  <si>
    <t>2026-09</t>
  </si>
  <si>
    <t>ORD-20260714-827</t>
  </si>
  <si>
    <t>天猫旗舰店</t>
  </si>
  <si>
    <t>20000mAh充电宝</t>
  </si>
  <si>
    <t>是</t>
  </si>
  <si>
    <t>秒杀</t>
  </si>
  <si>
    <t>否</t>
  </si>
  <si>
    <t>2026-07</t>
  </si>
  <si>
    <t>ORD-20260815-773</t>
  </si>
  <si>
    <t>微信小程序</t>
  </si>
  <si>
    <t>无线蓝牙耳机</t>
  </si>
  <si>
    <t>是</t>
  </si>
  <si>
    <t>直播特惠</t>
  </si>
  <si>
    <t>否</t>
  </si>
  <si>
    <t>2026-08</t>
  </si>
  <si>
    <t>ORD-20260722-697</t>
  </si>
  <si>
    <t>微信小程序</t>
  </si>
  <si>
    <t>无线蓝牙耳机</t>
  </si>
  <si>
    <t>是</t>
  </si>
  <si>
    <t>优惠券</t>
  </si>
  <si>
    <t>否</t>
  </si>
  <si>
    <t>2026-07</t>
  </si>
  <si>
    <t>ORD-20260820-255</t>
  </si>
  <si>
    <t>微信小程序</t>
  </si>
  <si>
    <t>便携榨汁杯</t>
  </si>
  <si>
    <t>是</t>
  </si>
  <si>
    <t>秒杀</t>
  </si>
  <si>
    <t>否</t>
  </si>
  <si>
    <t>2026-08</t>
  </si>
  <si>
    <t>ORD-20260921-989</t>
  </si>
  <si>
    <t>微信小程序</t>
  </si>
  <si>
    <t>折叠雨伞</t>
  </si>
  <si>
    <t>否</t>
  </si>
  <si>
    <t>无</t>
  </si>
  <si>
    <t>是</t>
  </si>
  <si>
    <t>2026-09</t>
  </si>
  <si>
    <t>ORD-20260802-478</t>
  </si>
  <si>
    <t>拼多多</t>
  </si>
  <si>
    <t>折叠雨伞</t>
  </si>
  <si>
    <t>是</t>
  </si>
  <si>
    <t>直播特惠</t>
  </si>
  <si>
    <t>否</t>
  </si>
  <si>
    <t>2026-08</t>
  </si>
  <si>
    <t>ORD-20260716-657</t>
  </si>
  <si>
    <t>抖音直播</t>
  </si>
  <si>
    <t>智能保温杯</t>
  </si>
  <si>
    <t>是</t>
  </si>
  <si>
    <t>秒杀</t>
  </si>
  <si>
    <t>是</t>
  </si>
  <si>
    <t>2026-07</t>
  </si>
  <si>
    <t>ORD-20260711-965</t>
  </si>
  <si>
    <t>微信小程序</t>
  </si>
  <si>
    <t>20000mAh充电宝</t>
  </si>
  <si>
    <t>是</t>
  </si>
  <si>
    <t>秒杀</t>
  </si>
  <si>
    <t>否</t>
  </si>
  <si>
    <t>2026-07</t>
  </si>
  <si>
    <t>ORD-20260820-786</t>
  </si>
  <si>
    <t>线下门店</t>
  </si>
  <si>
    <t>折叠雨伞</t>
  </si>
  <si>
    <t>是</t>
  </si>
  <si>
    <t>优惠券</t>
  </si>
  <si>
    <t>否</t>
  </si>
  <si>
    <t>2026-08</t>
  </si>
  <si>
    <t>ORD-20260906-141</t>
  </si>
  <si>
    <t>天猫旗舰店</t>
  </si>
  <si>
    <t>运动水壶</t>
  </si>
  <si>
    <t>否</t>
  </si>
  <si>
    <t>无</t>
  </si>
  <si>
    <t>否</t>
  </si>
  <si>
    <t>2026-09</t>
  </si>
  <si>
    <t>ORD-20260829-826</t>
  </si>
  <si>
    <t>线下门店</t>
  </si>
  <si>
    <t>便携榨汁杯</t>
  </si>
  <si>
    <t>是</t>
  </si>
  <si>
    <t>直播特惠</t>
  </si>
  <si>
    <t>否</t>
  </si>
  <si>
    <t>2026-08</t>
  </si>
  <si>
    <t>ORD-20260919-176</t>
  </si>
  <si>
    <t>微信小程序</t>
  </si>
  <si>
    <t>智能保温杯</t>
  </si>
  <si>
    <t>是</t>
  </si>
  <si>
    <t>直播特惠</t>
  </si>
  <si>
    <t>否</t>
  </si>
  <si>
    <t>2026-09</t>
  </si>
  <si>
    <t>ORD-20260801-696</t>
  </si>
  <si>
    <t>拼多多</t>
  </si>
  <si>
    <t>运动水壶</t>
  </si>
  <si>
    <t>否</t>
  </si>
  <si>
    <t>无</t>
  </si>
  <si>
    <t>否</t>
  </si>
  <si>
    <t>2026-08</t>
  </si>
  <si>
    <t>ORD-20260718-768</t>
  </si>
  <si>
    <t>天猫旗舰店</t>
  </si>
  <si>
    <t>无线蓝牙耳机</t>
  </si>
  <si>
    <t>否</t>
  </si>
  <si>
    <t>无</t>
  </si>
  <si>
    <t>是</t>
  </si>
  <si>
    <t>2026-07</t>
  </si>
  <si>
    <t>退款260→199</t>
  </si>
  <si>
    <t>ORD-20260719-159</t>
  </si>
  <si>
    <t>天猫旗舰店</t>
  </si>
  <si>
    <t>电动牙刷</t>
  </si>
  <si>
    <t>是</t>
  </si>
  <si>
    <t>优惠券</t>
  </si>
  <si>
    <t>否</t>
  </si>
  <si>
    <t>2026-07</t>
  </si>
  <si>
    <t>ORD-20260820-255-2</t>
  </si>
  <si>
    <t>微信小程序</t>
  </si>
  <si>
    <t>便携榨汁杯</t>
  </si>
  <si>
    <t>是</t>
  </si>
  <si>
    <t>秒杀</t>
  </si>
  <si>
    <t>否</t>
  </si>
  <si>
    <t>2026-08</t>
  </si>
  <si>
    <t>编号重复已重编</t>
  </si>
  <si>
    <t>ORD-20260830-869</t>
  </si>
  <si>
    <t>线下门店</t>
  </si>
  <si>
    <t>便携榨汁杯</t>
  </si>
  <si>
    <t>是</t>
  </si>
  <si>
    <t>优惠券</t>
  </si>
  <si>
    <t>否</t>
  </si>
  <si>
    <t>2026-08</t>
  </si>
  <si>
    <t>ORD-20260914-444</t>
  </si>
  <si>
    <t>线下门店</t>
  </si>
  <si>
    <t>20000mAh充电宝</t>
  </si>
  <si>
    <t>否</t>
  </si>
  <si>
    <t>无</t>
  </si>
  <si>
    <t>否</t>
  </si>
  <si>
    <t>2026-09</t>
  </si>
  <si>
    <t>ORD-20260830-415</t>
  </si>
  <si>
    <t>线下门店</t>
  </si>
  <si>
    <t>20000mAh充电宝</t>
  </si>
  <si>
    <t>否</t>
  </si>
  <si>
    <t>无</t>
  </si>
  <si>
    <t>否</t>
  </si>
  <si>
    <t>2026-08</t>
  </si>
  <si>
    <t>ORD-20260910-802</t>
  </si>
  <si>
    <t>抖音直播</t>
  </si>
  <si>
    <t>20000mAh充电宝</t>
  </si>
  <si>
    <t>是</t>
  </si>
  <si>
    <t>满减</t>
  </si>
  <si>
    <t>是</t>
  </si>
  <si>
    <t>2026-09</t>
  </si>
  <si>
    <t>总金额-149→149</t>
  </si>
  <si>
    <t>ORD-20260727-990</t>
  </si>
  <si>
    <t>拼多多</t>
  </si>
  <si>
    <t>无线蓝牙耳机</t>
  </si>
  <si>
    <t>是</t>
  </si>
  <si>
    <t>秒杀</t>
  </si>
  <si>
    <t>否</t>
  </si>
  <si>
    <t>2026-07</t>
  </si>
  <si>
    <t>ORD-20260809-946</t>
  </si>
  <si>
    <t>京东自营</t>
  </si>
  <si>
    <t>瑜伽垫</t>
  </si>
  <si>
    <t>否</t>
  </si>
  <si>
    <t>无</t>
  </si>
  <si>
    <t>否</t>
  </si>
  <si>
    <t>2026-08</t>
  </si>
  <si>
    <t>ORD-20260717-275</t>
  </si>
  <si>
    <t>微信小程序</t>
  </si>
  <si>
    <t>无线蓝牙耳机</t>
  </si>
  <si>
    <t>是</t>
  </si>
  <si>
    <t>满减</t>
  </si>
  <si>
    <t>否</t>
  </si>
  <si>
    <t>2026-07</t>
  </si>
  <si>
    <t>ORD-20260813-886</t>
  </si>
  <si>
    <t>抖音直播</t>
  </si>
  <si>
    <t>电动牙刷</t>
  </si>
  <si>
    <t>否</t>
  </si>
  <si>
    <t>无</t>
  </si>
  <si>
    <t>否</t>
  </si>
  <si>
    <t>2026-08</t>
  </si>
  <si>
    <t>ORD-20260901-239</t>
  </si>
  <si>
    <t>线下门店</t>
  </si>
  <si>
    <t>20000mAh充电宝</t>
  </si>
  <si>
    <t>是</t>
  </si>
  <si>
    <t>满减</t>
  </si>
  <si>
    <t>否</t>
  </si>
  <si>
    <t>2026-09</t>
  </si>
  <si>
    <t>ORD-20260914-128</t>
  </si>
  <si>
    <t>京东自营</t>
  </si>
  <si>
    <t>无线蓝牙耳机</t>
  </si>
  <si>
    <t>是</t>
  </si>
  <si>
    <t>直播特惠</t>
  </si>
  <si>
    <t>否</t>
  </si>
  <si>
    <t>2026-09</t>
  </si>
  <si>
    <t>ORD-20260925-628</t>
  </si>
  <si>
    <t>抖音直播</t>
  </si>
  <si>
    <t>无线蓝牙耳机</t>
  </si>
  <si>
    <t>否</t>
  </si>
  <si>
    <t>无</t>
  </si>
  <si>
    <t>是</t>
  </si>
  <si>
    <t>2026-09</t>
  </si>
  <si>
    <t>ORD-20260902-984</t>
  </si>
  <si>
    <t>微信小程序</t>
  </si>
  <si>
    <t>无线蓝牙耳机</t>
  </si>
  <si>
    <t>否</t>
  </si>
  <si>
    <t>无</t>
  </si>
  <si>
    <t>否</t>
  </si>
  <si>
    <t>2026-09</t>
  </si>
  <si>
    <t>ORD-20260902-559</t>
  </si>
  <si>
    <t>线下门店</t>
  </si>
  <si>
    <t>运动水壶</t>
  </si>
  <si>
    <t>否</t>
  </si>
  <si>
    <t>无</t>
  </si>
  <si>
    <t>否</t>
  </si>
  <si>
    <t>2026-09</t>
  </si>
  <si>
    <t>日期格式标准化</t>
  </si>
  <si>
    <t>ORD-20260823-470</t>
  </si>
  <si>
    <t>线下门店</t>
  </si>
  <si>
    <t>电动牙刷</t>
  </si>
  <si>
    <t>是</t>
  </si>
  <si>
    <t>秒杀</t>
  </si>
  <si>
    <t>否</t>
  </si>
  <si>
    <t>2026-08</t>
  </si>
  <si>
    <t>ORD-20260827-691</t>
  </si>
  <si>
    <t>天猫旗舰店</t>
  </si>
  <si>
    <t>无线蓝牙耳机</t>
  </si>
  <si>
    <t>是</t>
  </si>
  <si>
    <t>优惠券</t>
  </si>
  <si>
    <t>否</t>
  </si>
  <si>
    <t>2026-08</t>
  </si>
  <si>
    <t>ORD-20260723-753</t>
  </si>
  <si>
    <t>微信小程序</t>
  </si>
  <si>
    <t>便携榨汁杯</t>
  </si>
  <si>
    <t>是</t>
  </si>
  <si>
    <t>直播特惠</t>
  </si>
  <si>
    <t>否</t>
  </si>
  <si>
    <t>2026-07</t>
  </si>
  <si>
    <t>ORD-20260715-442</t>
  </si>
  <si>
    <t>线下门店</t>
  </si>
  <si>
    <t>电动牙刷</t>
  </si>
  <si>
    <t>否</t>
  </si>
  <si>
    <t>无</t>
  </si>
  <si>
    <t>否</t>
  </si>
  <si>
    <t>2026-07</t>
  </si>
  <si>
    <t>ORD-20260928-925</t>
  </si>
  <si>
    <t>京东自营</t>
  </si>
  <si>
    <t>无线蓝牙耳机</t>
  </si>
  <si>
    <t>是</t>
  </si>
  <si>
    <t>优惠券</t>
  </si>
  <si>
    <t>否</t>
  </si>
  <si>
    <t>2026-09</t>
  </si>
  <si>
    <t>ORD-20260801-159</t>
  </si>
  <si>
    <t>天猫旗舰店</t>
  </si>
  <si>
    <t>瑜伽垫</t>
  </si>
  <si>
    <t>否</t>
  </si>
  <si>
    <t>无</t>
  </si>
  <si>
    <t>否</t>
  </si>
  <si>
    <t>2026-08</t>
  </si>
  <si>
    <t>ORD-20260921-714</t>
  </si>
  <si>
    <t>天猫旗舰店</t>
  </si>
  <si>
    <t>运动水壶</t>
  </si>
  <si>
    <t>是</t>
  </si>
  <si>
    <t>优惠券</t>
  </si>
  <si>
    <t>否</t>
  </si>
  <si>
    <t>2026-09</t>
  </si>
  <si>
    <t>ORD-20260828-669</t>
  </si>
  <si>
    <t>天猫旗舰店</t>
  </si>
  <si>
    <t>智能保温杯</t>
  </si>
  <si>
    <t>否</t>
  </si>
  <si>
    <t>无</t>
  </si>
  <si>
    <t>否</t>
  </si>
  <si>
    <t>2026-08</t>
  </si>
  <si>
    <t>ORD-20260709-184</t>
  </si>
  <si>
    <t>天猫旗舰店</t>
  </si>
  <si>
    <t>20000mAh充电宝</t>
  </si>
  <si>
    <t>否</t>
  </si>
  <si>
    <t>无</t>
  </si>
  <si>
    <t>是</t>
  </si>
  <si>
    <t>2026-07</t>
  </si>
  <si>
    <t>ORD-20260901-855</t>
  </si>
  <si>
    <t>抖音直播</t>
  </si>
  <si>
    <t>电动牙刷</t>
  </si>
  <si>
    <t>是</t>
  </si>
  <si>
    <t>直播特惠</t>
  </si>
  <si>
    <t>否</t>
  </si>
  <si>
    <t>2026-09</t>
  </si>
  <si>
    <t>ORD-20260909-411</t>
  </si>
  <si>
    <t>抖音直播</t>
  </si>
  <si>
    <t>运动水壶</t>
  </si>
  <si>
    <t>否</t>
  </si>
  <si>
    <t>无</t>
  </si>
  <si>
    <t>否</t>
  </si>
  <si>
    <t>2026-09</t>
  </si>
  <si>
    <t>ORD-20260917-819</t>
  </si>
  <si>
    <t>微信小程序</t>
  </si>
  <si>
    <t>20000mAh充电宝</t>
  </si>
  <si>
    <t>是</t>
  </si>
  <si>
    <t>直播特惠</t>
  </si>
  <si>
    <t>否</t>
  </si>
  <si>
    <t>2026-09</t>
  </si>
  <si>
    <t>ORD-20260814-179</t>
  </si>
  <si>
    <t>天猫旗舰店</t>
  </si>
  <si>
    <t>智能保温杯</t>
  </si>
  <si>
    <t>是</t>
  </si>
  <si>
    <t>直播特惠</t>
  </si>
  <si>
    <t>否</t>
  </si>
  <si>
    <t>2026-08</t>
  </si>
  <si>
    <t>ORD-20260805-470</t>
  </si>
  <si>
    <t>抖音直播</t>
  </si>
  <si>
    <t>瑜伽垫</t>
  </si>
  <si>
    <t>否</t>
  </si>
  <si>
    <t>无</t>
  </si>
  <si>
    <t>否</t>
  </si>
  <si>
    <t>2026-08</t>
  </si>
  <si>
    <t>ORD-20260801-781</t>
  </si>
  <si>
    <t>微信小程序</t>
  </si>
  <si>
    <t>折叠雨伞</t>
  </si>
  <si>
    <t>是</t>
  </si>
  <si>
    <t>秒杀</t>
  </si>
  <si>
    <t>否</t>
  </si>
  <si>
    <t>2026-08</t>
  </si>
  <si>
    <t>ORD-20260914-588</t>
  </si>
  <si>
    <t>微信小程序</t>
  </si>
  <si>
    <t>20000mAh充电宝</t>
  </si>
  <si>
    <t>是</t>
  </si>
  <si>
    <t>满减</t>
  </si>
  <si>
    <t>否</t>
  </si>
  <si>
    <t>2026-09</t>
  </si>
  <si>
    <t>ORD-20260918-203</t>
  </si>
  <si>
    <t>京东自营</t>
  </si>
  <si>
    <t>便携榨汁杯</t>
  </si>
  <si>
    <t>是</t>
  </si>
  <si>
    <t>满减</t>
  </si>
  <si>
    <t>否</t>
  </si>
  <si>
    <t>2026-09</t>
  </si>
  <si>
    <t>ORD-20260906-217</t>
  </si>
  <si>
    <t>天猫旗舰店</t>
  </si>
  <si>
    <t>运动水壶</t>
  </si>
  <si>
    <t>否</t>
  </si>
  <si>
    <t>无</t>
  </si>
  <si>
    <t>否</t>
  </si>
  <si>
    <t>2026-09</t>
  </si>
  <si>
    <t>ORD-20260814-847</t>
  </si>
  <si>
    <t>京东自营</t>
  </si>
  <si>
    <t>瑜伽垫</t>
  </si>
  <si>
    <t>是</t>
  </si>
  <si>
    <t>秒杀</t>
  </si>
  <si>
    <t>否</t>
  </si>
  <si>
    <t>2026-08</t>
  </si>
  <si>
    <t>ORD-20260820-548</t>
  </si>
  <si>
    <t>微信小程序</t>
  </si>
  <si>
    <t>无线蓝牙耳机</t>
  </si>
  <si>
    <t>是</t>
  </si>
  <si>
    <t>满减</t>
  </si>
  <si>
    <t>否</t>
  </si>
  <si>
    <t>2026-08</t>
  </si>
  <si>
    <t>ORD-20260705-391</t>
  </si>
  <si>
    <t>抖音直播</t>
  </si>
  <si>
    <t>智能保温杯</t>
  </si>
  <si>
    <t>是</t>
  </si>
  <si>
    <t>直播特惠</t>
  </si>
  <si>
    <t>否</t>
  </si>
  <si>
    <t>2026-07</t>
  </si>
  <si>
    <t>总金额150→178</t>
  </si>
  <si>
    <t>日期</t>
  </si>
  <si>
    <t>订单编号</t>
  </si>
  <si>
    <t>异常类型</t>
  </si>
  <si>
    <t>异常说明</t>
  </si>
  <si>
    <t>原始值</t>
  </si>
  <si>
    <t>处理方式</t>
  </si>
  <si>
    <t>2026-07-05</t>
  </si>
  <si>
    <t>A</t>
  </si>
  <si>
    <t>金额勾稽不符</t>
  </si>
  <si>
    <t>总金额(150)≠销售数量×单价(2×89=178)</t>
  </si>
  <si>
    <t>总金额=150</t>
  </si>
  <si>
    <t>修正总金额=178，保留</t>
  </si>
  <si>
    <t>2026-07-18</t>
  </si>
  <si>
    <t>B</t>
  </si>
  <si>
    <t>退款超限</t>
  </si>
  <si>
    <t>退款金额(260)＞订单总金额(199)</t>
  </si>
  <si>
    <t>退款金额=260</t>
  </si>
  <si>
    <t>修正退款金额=199，保留</t>
  </si>
  <si>
    <t>2026-08-03</t>
  </si>
  <si>
    <t>C</t>
  </si>
  <si>
    <t>单价非法</t>
  </si>
  <si>
    <t>单价为0，金额无法计算</t>
  </si>
  <si>
    <t>单价=0</t>
  </si>
  <si>
    <t>剔除该记录</t>
  </si>
  <si>
    <t>2026-08-12</t>
  </si>
  <si>
    <t>数量非法</t>
  </si>
  <si>
    <t>销售数量为0</t>
  </si>
  <si>
    <t>数量=0</t>
  </si>
  <si>
    <t>剔除该记录</t>
  </si>
  <si>
    <t>2026-08-20</t>
  </si>
  <si>
    <t>E</t>
  </si>
  <si>
    <t>订单编号重复</t>
  </si>
  <si>
    <t>订单编号与2026-08-21记录重复</t>
  </si>
  <si>
    <t>ORD-重复号</t>
  </si>
  <si>
    <t>重编号为-2，保留</t>
  </si>
  <si>
    <t>2026-08-21</t>
  </si>
  <si>
    <t>F</t>
  </si>
  <si>
    <t>订单编号重复</t>
  </si>
  <si>
    <t>订单编号与2026-08-20记录重复</t>
  </si>
  <si>
    <t>ORD-重复号</t>
  </si>
  <si>
    <t>保留原编号，另一条重编号</t>
  </si>
  <si>
    <t>2026-09-02</t>
  </si>
  <si>
    <t>G</t>
  </si>
  <si>
    <t>日期格式错误</t>
  </si>
  <si>
    <t>日期为文本格式2026/09/02</t>
  </si>
  <si>
    <t>2026/09/02</t>
  </si>
  <si>
    <t>标准化为2026-09-02，保留</t>
  </si>
  <si>
    <t>2026-09-10</t>
  </si>
  <si>
    <t>H</t>
  </si>
  <si>
    <t>金额非法</t>
  </si>
  <si>
    <t>总金额为负(-149)，且退款超限</t>
  </si>
  <si>
    <t>总金额=-149</t>
  </si>
  <si>
    <t>修正总金额=149，保留</t>
  </si>
  <si>
    <t>2026-09-15</t>
  </si>
  <si>
    <t>I</t>
  </si>
  <si>
    <t>数量非法</t>
  </si>
  <si>
    <t>销售数量为负(-1)</t>
  </si>
  <si>
    <t>数量=-1</t>
  </si>
  <si>
    <t>剔除该记录</t>
  </si>
  <si>
    <t>2026-09-22</t>
  </si>
  <si>
    <t>J</t>
  </si>
  <si>
    <t>关键字段缺失</t>
  </si>
  <si>
    <t>商品名称为空</t>
  </si>
  <si>
    <t>商品名称=''</t>
  </si>
  <si>
    <t>剔除该记录</t>
  </si>
  <si>
    <t>销售订单统计汇总台账（基于清洗规整数据）</t>
  </si>
  <si>
    <t>按销售渠道</t>
  </si>
  <si>
    <t>分组项</t>
  </si>
  <si>
    <t>订单数</t>
  </si>
  <si>
    <t>销售数量</t>
  </si>
  <si>
    <t>销售额</t>
  </si>
  <si>
    <t>退款金额</t>
  </si>
  <si>
    <t>退款率</t>
  </si>
  <si>
    <t>客单价</t>
  </si>
  <si>
    <t>抖音直播</t>
  </si>
  <si>
    <t>天猫旗舰店</t>
  </si>
  <si>
    <t>京东自营</t>
  </si>
  <si>
    <t>微信小程序</t>
  </si>
  <si>
    <t>线下门店</t>
  </si>
  <si>
    <t>拼多多</t>
  </si>
  <si>
    <t>合计</t>
  </si>
  <si>
    <t>按商品</t>
  </si>
  <si>
    <t>分组项</t>
  </si>
  <si>
    <t>订单数</t>
  </si>
  <si>
    <t>销售数量</t>
  </si>
  <si>
    <t>销售额</t>
  </si>
  <si>
    <t>退款金额</t>
  </si>
  <si>
    <t>退款率</t>
  </si>
  <si>
    <t>客单价</t>
  </si>
  <si>
    <t>智能保温杯</t>
  </si>
  <si>
    <t>无线蓝牙耳机</t>
  </si>
  <si>
    <t>便携榨汁杯</t>
  </si>
  <si>
    <t>瑜伽垫</t>
  </si>
  <si>
    <t>20000mAh充电宝</t>
  </si>
  <si>
    <t>电动牙刷</t>
  </si>
  <si>
    <t>折叠雨伞</t>
  </si>
  <si>
    <t>运动水壶</t>
  </si>
  <si>
    <t>合计</t>
  </si>
  <si>
    <t>按月份</t>
  </si>
  <si>
    <t>分组项</t>
  </si>
  <si>
    <t>订单数</t>
  </si>
  <si>
    <t>销售数量</t>
  </si>
  <si>
    <t>销售额</t>
  </si>
  <si>
    <t>退款金额</t>
  </si>
  <si>
    <t>退款率</t>
  </si>
  <si>
    <t>客单价</t>
  </si>
  <si>
    <t>2026-07</t>
  </si>
  <si>
    <t>2026-08</t>
  </si>
  <si>
    <t>2026-09</t>
  </si>
  <si>
    <t>合计</t>
  </si>
  <si>
    <t>按活动类型</t>
  </si>
  <si>
    <t>活动类型</t>
  </si>
  <si>
    <t>订单数</t>
  </si>
  <si>
    <t>销售额</t>
  </si>
  <si>
    <t>销售占比</t>
  </si>
  <si>
    <t>满减</t>
  </si>
  <si>
    <t>秒杀</t>
  </si>
  <si>
    <t>直播特惠</t>
  </si>
  <si>
    <t>优惠券</t>
  </si>
  <si>
    <t>无</t>
  </si>
  <si>
    <t>合计</t>
  </si>
  <si>
    <t>销售月度复盘分析（2026年7月—9月）</t>
  </si>
  <si>
    <t>数据口径：基于「清洗规整数据」sheet（剔除4条异常、修正6条后共58条订单）。</t>
  </si>
  <si>
    <t>一、月度核心KPI</t>
  </si>
  <si>
    <t>月份</t>
  </si>
  <si>
    <t>订单数</t>
  </si>
  <si>
    <t>销售数量</t>
  </si>
  <si>
    <t>销售额</t>
  </si>
  <si>
    <t>退款金额</t>
  </si>
  <si>
    <t>退款率</t>
  </si>
  <si>
    <t>客单价</t>
  </si>
  <si>
    <t>7月</t>
  </si>
  <si>
    <t>8月</t>
  </si>
  <si>
    <t>9月</t>
  </si>
  <si>
    <t>8月环比</t>
  </si>
  <si>
    <t>二、趋势分析</t>
  </si>
  <si>
    <t>1. 销售额趋势：7月至9月整体呈上升态势，9月为季度高点，主要受开学季及9月促销节点带动。</t>
  </si>
  <si>
    <t>2. 客单价：客单价整体稳定，抖音直播渠道客单价高于其他渠道，但退款率相对偏高，需关注直播冲动消费后的退单。</t>
  </si>
  <si>
    <t>3. 退款率：8月退款率一度走高，主要集中在大促订单，9月已回落，可进一步优化大促售后流程。</t>
  </si>
  <si>
    <t>4. 渠道结构：抖音直播贡献最大销售额，线下门店单量稳定、退款率最低，是质量最健康的渠道。</t>
  </si>
  <si>
    <t>三、问题与改进建议</t>
  </si>
  <si>
    <t>1. 数据质量：本月共发现10条异常（4条剔除、6条修正），占比偏高，建议在订单录入环节增加“总金额=数量×单价”“退款金额≤总金额”等校验规则。</t>
  </si>
  <si>
    <t>2. 退款管控：直播渠道退款率高于整体，建议对直播特惠商品加强品质与描述核对，减少冲动退单。</t>
  </si>
  <si>
    <t>3. 活动效率：满减类活动对销售额拉动明显，可加大力度；秒杀类单量高但客单价偏低，可搭配连带销售。</t>
  </si>
  <si>
    <t>4. 风险商品：折叠雨伞、运动水壶等低价商品利润薄，建议优化组合销售以提升毛利。</t>
  </si>
  <si>
    <t>是否退款</t>
    <phoneticPr fontId="7" type="noConversion"/>
  </si>
  <si>
    <t>D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</si>
</sst>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8" x14ac:knownFonts="1">
    <font>
      <sz val="11"/>
      <color theme="1"/>
      <name val="等线"/>
      <family val="2"/>
      <scheme val="minor"/>
    </font>
    <font>
      <b/>
      <sz val="11"/>
      <color rgb="FFFFFFFF"/>
      <name val="等线"/>
      <family val="2"/>
      <scheme val="minor"/>
    </font>
    <font>
      <sz val="11"/>
      <color rgb="FF000000"/>
      <name val="Calibri"/>
      <family val="2"/>
    </font>
    <font>
      <b/>
      <sz val="13"/>
      <color rgb="FF1F4E79"/>
      <name val="等线"/>
      <family val="2"/>
      <scheme val="minor"/>
    </font>
    <font>
      <b/>
      <sz val="12"/>
      <color rgb="FF1F4E79"/>
      <name val="等线"/>
      <family val="2"/>
      <scheme val="minor"/>
    </font>
    <font>
      <b/>
      <sz val="11"/>
      <color rgb="FF000000"/>
      <name val="等线"/>
      <family val="2"/>
      <scheme val="minor"/>
    </font>
    <font>
      <i/>
      <sz val="11"/>
      <color rgb="FF595959"/>
      <name val="等线"/>
      <family val="2"/>
      <scheme val="minor"/>
    </font>
    <font>
      <sz val="9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D9E2F3"/>
      </patternFill>
    </fill>
    <fill>
      <patternFill patternType="solid">
        <fgColor rgb="FF4472C4"/>
      </patternFill>
    </fill>
  </fills>
  <borders count="1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 applyNumberFormat="0" applyFont="0" applyFill="0" applyBorder="0" applyProtection="0"/>
  </cellStyleXfs>
  <cellXfs count="44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76" fontId="2" fillId="0" borderId="2" xfId="0" applyNumberFormat="1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3" fontId="2" fillId="0" borderId="2" xfId="0" applyNumberFormat="1" applyFont="1" applyBorder="1" applyAlignment="1">
      <alignment horizontal="right" vertical="center"/>
    </xf>
    <xf numFmtId="4" fontId="2" fillId="0" borderId="2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3" fillId="0" borderId="0" xfId="0" applyFont="1"/>
    <xf numFmtId="0" fontId="4" fillId="0" borderId="0" xfId="0" applyFont="1"/>
    <xf numFmtId="0" fontId="1" fillId="5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/>
    <xf numFmtId="4" fontId="2" fillId="0" borderId="4" xfId="0" applyNumberFormat="1" applyFont="1" applyBorder="1" applyAlignment="1">
      <alignment horizontal="right" vertical="center"/>
    </xf>
    <xf numFmtId="0" fontId="5" fillId="6" borderId="4" xfId="0" applyFont="1" applyFill="1" applyBorder="1" applyAlignment="1">
      <alignment horizontal="center" vertical="center"/>
    </xf>
    <xf numFmtId="4" fontId="5" fillId="6" borderId="4" xfId="0" applyNumberFormat="1" applyFont="1" applyFill="1" applyBorder="1" applyAlignment="1">
      <alignment horizontal="right" vertical="center"/>
    </xf>
    <xf numFmtId="10" fontId="2" fillId="0" borderId="4" xfId="0" applyNumberFormat="1" applyFont="1" applyBorder="1" applyAlignment="1">
      <alignment horizontal="right" vertical="center"/>
    </xf>
    <xf numFmtId="10" fontId="5" fillId="6" borderId="4" xfId="0" applyNumberFormat="1" applyFont="1" applyFill="1" applyBorder="1"/>
    <xf numFmtId="0" fontId="6" fillId="0" borderId="0" xfId="0" applyFont="1"/>
    <xf numFmtId="0" fontId="1" fillId="7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3" fontId="2" fillId="0" borderId="5" xfId="0" applyNumberFormat="1" applyFont="1" applyBorder="1" applyAlignment="1">
      <alignment horizontal="right" vertical="center"/>
    </xf>
    <xf numFmtId="4" fontId="2" fillId="0" borderId="5" xfId="0" applyNumberFormat="1" applyFont="1" applyBorder="1" applyAlignment="1">
      <alignment horizontal="right" vertical="center"/>
    </xf>
    <xf numFmtId="10" fontId="2" fillId="0" borderId="5" xfId="0" applyNumberFormat="1" applyFont="1" applyBorder="1" applyAlignment="1">
      <alignment horizontal="right" vertical="center"/>
    </xf>
    <xf numFmtId="0" fontId="5" fillId="0" borderId="5" xfId="0" applyFont="1" applyBorder="1"/>
    <xf numFmtId="0" fontId="2" fillId="0" borderId="5" xfId="0" applyFont="1" applyBorder="1"/>
    <xf numFmtId="0" fontId="2" fillId="0" borderId="0" xfId="0" applyFont="1" applyAlignment="1">
      <alignment horizontal="left"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n sun" refreshedDate="46314.567863194447" createdVersion="8" refreshedVersion="8" minRefreshableVersion="3" recordCount="62" xr:uid="{A2931BA7-D31D-4C26-AFD6-16BFB6717E55}">
  <cacheSource type="worksheet">
    <worksheetSource ref="A1:K63" sheet="原始数据"/>
  </cacheSource>
  <cacheFields count="11">
    <cacheField name="日期" numFmtId="0">
      <sharedItems containsDate="1" containsMixedTypes="1" minDate="2026-07-03T00:00:00" maxDate="2026-09-29T00:00:00" count="47">
        <d v="2026-07-03T00:00:00"/>
        <d v="2026-08-17T00:00:00"/>
        <d v="2026-08-15T00:00:00"/>
        <d v="2026-07-13T00:00:00"/>
        <d v="2026-08-03T00:00:00"/>
        <d v="2026-08-05T00:00:00"/>
        <d v="2026-09-18T00:00:00"/>
        <d v="2026-09-20T00:00:00"/>
        <d v="2026-07-14T00:00:00"/>
        <d v="2026-07-22T00:00:00"/>
        <d v="2026-08-20T00:00:00"/>
        <d v="2026-09-21T00:00:00"/>
        <d v="2026-08-02T00:00:00"/>
        <d v="2026-07-16T00:00:00"/>
        <d v="2026-07-11T00:00:00"/>
        <d v="2026-09-06T00:00:00"/>
        <d v="2026-08-29T00:00:00"/>
        <d v="2026-09-19T00:00:00"/>
        <d v="2026-08-01T00:00:00"/>
        <d v="2026-07-18T00:00:00"/>
        <d v="2026-07-19T00:00:00"/>
        <d v="2026-08-21T00:00:00"/>
        <d v="2026-08-30T00:00:00"/>
        <d v="2026-09-14T00:00:00"/>
        <d v="2026-09-10T00:00:00"/>
        <d v="2026-07-27T00:00:00"/>
        <d v="2026-08-09T00:00:00"/>
        <d v="2026-07-17T00:00:00"/>
        <d v="2026-08-13T00:00:00"/>
        <d v="2026-09-01T00:00:00"/>
        <d v="2026-09-25T00:00:00"/>
        <d v="2026-09-02T00:00:00"/>
        <d v="2026-09-22T00:00:00"/>
        <s v="2026/09/02"/>
        <d v="2026-08-23T00:00:00"/>
        <d v="2026-08-27T00:00:00"/>
        <d v="2026-07-23T00:00:00"/>
        <d v="2026-07-15T00:00:00"/>
        <d v="2026-09-28T00:00:00"/>
        <d v="2026-08-28T00:00:00"/>
        <d v="2026-07-09T00:00:00"/>
        <d v="2026-09-09T00:00:00"/>
        <d v="2026-09-17T00:00:00"/>
        <d v="2026-08-14T00:00:00"/>
        <d v="2026-08-12T00:00:00"/>
        <d v="2026-07-05T00:00:00"/>
        <d v="2026-09-15T00:00:00"/>
      </sharedItems>
    </cacheField>
    <cacheField name="订单编号" numFmtId="0">
      <sharedItems count="61">
        <s v="ORD-20260703-364"/>
        <s v="ORD-20260817-434"/>
        <s v="ORD-20260815-257"/>
        <s v="ORD-20260713-442"/>
        <s v="ORD-20260803-374"/>
        <s v="ORD-20260803-590"/>
        <s v="ORD-20260805-384"/>
        <s v="ORD-20260918-419"/>
        <s v="ORD-20260920-726"/>
        <s v="ORD-20260714-827"/>
        <s v="ORD-20260815-773"/>
        <s v="ORD-20260722-697"/>
        <s v="ORD-20260820-255"/>
        <s v="ORD-20260921-989"/>
        <s v="ORD-20260802-478"/>
        <s v="ORD-20260716-657"/>
        <s v="ORD-20260711-965"/>
        <s v="ORD-20260820-786"/>
        <s v="ORD-20260906-141"/>
        <s v="ORD-20260829-826"/>
        <s v="ORD-20260919-176"/>
        <s v="ORD-20260801-696"/>
        <s v="ORD-20260718-768"/>
        <s v="ORD-20260719-159"/>
        <s v="ORD-20260830-869"/>
        <s v="ORD-20260914-444"/>
        <s v="ORD-20260830-415"/>
        <s v="ORD-20260910-802"/>
        <s v="ORD-20260727-990"/>
        <s v="ORD-20260809-946"/>
        <s v="ORD-20260717-275"/>
        <s v="ORD-20260813-886"/>
        <s v="ORD-20260901-239"/>
        <s v="ORD-20260914-128"/>
        <s v="ORD-20260925-628"/>
        <s v="ORD-20260902-984"/>
        <s v="ORD-20260922-577"/>
        <s v="ORD-20260902-559"/>
        <s v="ORD-20260823-470"/>
        <s v="ORD-20260827-691"/>
        <s v="ORD-20260723-753"/>
        <s v="ORD-20260715-442"/>
        <s v="ORD-20260928-925"/>
        <s v="ORD-20260801-159"/>
        <s v="ORD-20260921-714"/>
        <s v="ORD-20260828-669"/>
        <s v="ORD-20260709-184"/>
        <s v="ORD-20260901-855"/>
        <s v="ORD-20260909-411"/>
        <s v="ORD-20260917-819"/>
        <s v="ORD-20260814-179"/>
        <s v="ORD-20260812-816"/>
        <s v="ORD-20260805-470"/>
        <s v="ORD-20260801-781"/>
        <s v="ORD-20260914-588"/>
        <s v="ORD-20260918-203"/>
        <s v="ORD-20260906-217"/>
        <s v="ORD-20260814-847"/>
        <s v="ORD-20260820-548"/>
        <s v="ORD-20260705-391"/>
        <s v="ORD-20260915-813"/>
      </sharedItems>
    </cacheField>
    <cacheField name="销售渠道" numFmtId="0">
      <sharedItems/>
    </cacheField>
    <cacheField name="商品名称" numFmtId="0">
      <sharedItems containsBlank="1" count="9">
        <s v="智能保温杯"/>
        <s v="折叠雨伞"/>
        <s v="便携榨汁杯"/>
        <s v="电动牙刷"/>
        <s v="瑜伽垫"/>
        <s v="运动水壶"/>
        <s v="20000mAh充电宝"/>
        <s v="无线蓝牙耳机"/>
        <m/>
      </sharedItems>
    </cacheField>
    <cacheField name="销售数量" numFmtId="3">
      <sharedItems containsSemiMixedTypes="0" containsString="0" containsNumber="1" containsInteger="1" minValue="-1" maxValue="4" count="6">
        <n v="1"/>
        <n v="4"/>
        <n v="3"/>
        <n v="2"/>
        <n v="0"/>
        <n v="-1"/>
      </sharedItems>
    </cacheField>
    <cacheField name="单价" numFmtId="4">
      <sharedItems containsSemiMixedTypes="0" containsString="0" containsNumber="1" containsInteger="1" minValue="0" maxValue="199" count="9">
        <n v="89"/>
        <n v="39"/>
        <n v="129"/>
        <n v="169"/>
        <n v="0"/>
        <n v="49"/>
        <n v="149"/>
        <n v="199"/>
        <n v="59"/>
      </sharedItems>
    </cacheField>
    <cacheField name="总金额" numFmtId="4">
      <sharedItems containsSemiMixedTypes="0" containsString="0" containsNumber="1" containsInteger="1" minValue="-149" maxValue="796" count="31">
        <n v="89"/>
        <n v="356"/>
        <n v="117"/>
        <n v="129"/>
        <n v="338"/>
        <n v="0"/>
        <n v="196"/>
        <n v="78"/>
        <n v="507"/>
        <n v="596"/>
        <n v="199"/>
        <n v="796"/>
        <n v="156"/>
        <n v="298"/>
        <n v="147"/>
        <n v="258"/>
        <n v="98"/>
        <n v="169"/>
        <n v="149"/>
        <n v="447"/>
        <n v="-149"/>
        <n v="118"/>
        <n v="398"/>
        <n v="676"/>
        <n v="387"/>
        <n v="597"/>
        <n v="267"/>
        <n v="236"/>
        <n v="59"/>
        <n v="150"/>
        <n v="-39"/>
      </sharedItems>
    </cacheField>
    <cacheField name="是否活动" numFmtId="0">
      <sharedItems/>
    </cacheField>
    <cacheField name="活动类型" numFmtId="0">
      <sharedItems/>
    </cacheField>
    <cacheField name="是否退款" numFmtId="0">
      <sharedItems count="2">
        <s v="否"/>
        <s v="是"/>
      </sharedItems>
    </cacheField>
    <cacheField name="退款金额" numFmtId="4">
      <sharedItems containsSemiMixedTypes="0" containsString="0" containsNumber="1" minValue="0" maxValue="477.6" count="8">
        <n v="0"/>
        <n v="253.5"/>
        <n v="78"/>
        <n v="89"/>
        <n v="260"/>
        <n v="149"/>
        <n v="477.6"/>
        <n v="29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">
  <r>
    <x v="0"/>
    <x v="0"/>
    <s v="天猫旗舰店"/>
    <x v="0"/>
    <x v="0"/>
    <x v="0"/>
    <x v="0"/>
    <s v="是"/>
    <s v="优惠券"/>
    <x v="0"/>
    <x v="0"/>
  </r>
  <r>
    <x v="1"/>
    <x v="1"/>
    <s v="线下门店"/>
    <x v="0"/>
    <x v="1"/>
    <x v="0"/>
    <x v="1"/>
    <s v="是"/>
    <s v="直播特惠"/>
    <x v="0"/>
    <x v="0"/>
  </r>
  <r>
    <x v="2"/>
    <x v="2"/>
    <s v="抖音直播"/>
    <x v="1"/>
    <x v="2"/>
    <x v="1"/>
    <x v="2"/>
    <s v="是"/>
    <s v="满减"/>
    <x v="0"/>
    <x v="0"/>
  </r>
  <r>
    <x v="3"/>
    <x v="3"/>
    <s v="抖音直播"/>
    <x v="2"/>
    <x v="0"/>
    <x v="2"/>
    <x v="3"/>
    <s v="是"/>
    <s v="秒杀"/>
    <x v="0"/>
    <x v="0"/>
  </r>
  <r>
    <x v="4"/>
    <x v="4"/>
    <s v="天猫旗舰店"/>
    <x v="3"/>
    <x v="3"/>
    <x v="3"/>
    <x v="4"/>
    <s v="是"/>
    <s v="直播特惠"/>
    <x v="0"/>
    <x v="0"/>
  </r>
  <r>
    <x v="4"/>
    <x v="5"/>
    <s v="拼多多"/>
    <x v="4"/>
    <x v="3"/>
    <x v="4"/>
    <x v="5"/>
    <s v="否"/>
    <s v="无"/>
    <x v="0"/>
    <x v="0"/>
  </r>
  <r>
    <x v="5"/>
    <x v="6"/>
    <s v="拼多多"/>
    <x v="5"/>
    <x v="1"/>
    <x v="5"/>
    <x v="6"/>
    <s v="是"/>
    <s v="满减"/>
    <x v="0"/>
    <x v="0"/>
  </r>
  <r>
    <x v="6"/>
    <x v="7"/>
    <s v="线下门店"/>
    <x v="1"/>
    <x v="3"/>
    <x v="1"/>
    <x v="7"/>
    <s v="是"/>
    <s v="优惠券"/>
    <x v="0"/>
    <x v="0"/>
  </r>
  <r>
    <x v="7"/>
    <x v="8"/>
    <s v="天猫旗舰店"/>
    <x v="3"/>
    <x v="2"/>
    <x v="3"/>
    <x v="8"/>
    <s v="否"/>
    <s v="无"/>
    <x v="1"/>
    <x v="1"/>
  </r>
  <r>
    <x v="8"/>
    <x v="9"/>
    <s v="天猫旗舰店"/>
    <x v="6"/>
    <x v="1"/>
    <x v="6"/>
    <x v="9"/>
    <s v="是"/>
    <s v="秒杀"/>
    <x v="0"/>
    <x v="0"/>
  </r>
  <r>
    <x v="2"/>
    <x v="10"/>
    <s v="微信小程序"/>
    <x v="7"/>
    <x v="0"/>
    <x v="7"/>
    <x v="10"/>
    <s v="是"/>
    <s v="直播特惠"/>
    <x v="0"/>
    <x v="0"/>
  </r>
  <r>
    <x v="9"/>
    <x v="11"/>
    <s v="微信小程序"/>
    <x v="7"/>
    <x v="1"/>
    <x v="7"/>
    <x v="11"/>
    <s v="是"/>
    <s v="优惠券"/>
    <x v="0"/>
    <x v="0"/>
  </r>
  <r>
    <x v="10"/>
    <x v="12"/>
    <s v="微信小程序"/>
    <x v="2"/>
    <x v="0"/>
    <x v="2"/>
    <x v="3"/>
    <s v="是"/>
    <s v="秒杀"/>
    <x v="0"/>
    <x v="0"/>
  </r>
  <r>
    <x v="11"/>
    <x v="13"/>
    <s v="微信小程序"/>
    <x v="1"/>
    <x v="1"/>
    <x v="1"/>
    <x v="12"/>
    <s v="否"/>
    <s v="无"/>
    <x v="1"/>
    <x v="2"/>
  </r>
  <r>
    <x v="12"/>
    <x v="14"/>
    <s v="拼多多"/>
    <x v="1"/>
    <x v="3"/>
    <x v="1"/>
    <x v="7"/>
    <s v="是"/>
    <s v="直播特惠"/>
    <x v="0"/>
    <x v="0"/>
  </r>
  <r>
    <x v="13"/>
    <x v="15"/>
    <s v="抖音直播"/>
    <x v="0"/>
    <x v="0"/>
    <x v="0"/>
    <x v="0"/>
    <s v="是"/>
    <s v="秒杀"/>
    <x v="1"/>
    <x v="3"/>
  </r>
  <r>
    <x v="14"/>
    <x v="16"/>
    <s v="微信小程序"/>
    <x v="6"/>
    <x v="3"/>
    <x v="6"/>
    <x v="13"/>
    <s v="是"/>
    <s v="秒杀"/>
    <x v="0"/>
    <x v="0"/>
  </r>
  <r>
    <x v="10"/>
    <x v="17"/>
    <s v="线下门店"/>
    <x v="1"/>
    <x v="3"/>
    <x v="1"/>
    <x v="7"/>
    <s v="是"/>
    <s v="优惠券"/>
    <x v="0"/>
    <x v="0"/>
  </r>
  <r>
    <x v="15"/>
    <x v="18"/>
    <s v="天猫旗舰店"/>
    <x v="5"/>
    <x v="2"/>
    <x v="5"/>
    <x v="14"/>
    <s v="否"/>
    <s v="无"/>
    <x v="0"/>
    <x v="0"/>
  </r>
  <r>
    <x v="16"/>
    <x v="19"/>
    <s v="线下门店"/>
    <x v="2"/>
    <x v="3"/>
    <x v="2"/>
    <x v="15"/>
    <s v="是"/>
    <s v="直播特惠"/>
    <x v="0"/>
    <x v="0"/>
  </r>
  <r>
    <x v="17"/>
    <x v="20"/>
    <s v="微信小程序"/>
    <x v="0"/>
    <x v="1"/>
    <x v="0"/>
    <x v="1"/>
    <s v="是"/>
    <s v="直播特惠"/>
    <x v="0"/>
    <x v="0"/>
  </r>
  <r>
    <x v="18"/>
    <x v="21"/>
    <s v="拼多多"/>
    <x v="5"/>
    <x v="3"/>
    <x v="5"/>
    <x v="16"/>
    <s v="否"/>
    <s v="无"/>
    <x v="0"/>
    <x v="0"/>
  </r>
  <r>
    <x v="19"/>
    <x v="22"/>
    <s v="天猫旗舰店"/>
    <x v="7"/>
    <x v="0"/>
    <x v="7"/>
    <x v="10"/>
    <s v="否"/>
    <s v="无"/>
    <x v="1"/>
    <x v="4"/>
  </r>
  <r>
    <x v="20"/>
    <x v="23"/>
    <s v="天猫旗舰店"/>
    <x v="3"/>
    <x v="0"/>
    <x v="3"/>
    <x v="17"/>
    <s v="是"/>
    <s v="优惠券"/>
    <x v="0"/>
    <x v="0"/>
  </r>
  <r>
    <x v="21"/>
    <x v="12"/>
    <s v="微信小程序"/>
    <x v="2"/>
    <x v="3"/>
    <x v="2"/>
    <x v="15"/>
    <s v="是"/>
    <s v="秒杀"/>
    <x v="0"/>
    <x v="0"/>
  </r>
  <r>
    <x v="22"/>
    <x v="24"/>
    <s v="线下门店"/>
    <x v="2"/>
    <x v="3"/>
    <x v="2"/>
    <x v="15"/>
    <s v="是"/>
    <s v="优惠券"/>
    <x v="0"/>
    <x v="0"/>
  </r>
  <r>
    <x v="23"/>
    <x v="25"/>
    <s v="线下门店"/>
    <x v="6"/>
    <x v="0"/>
    <x v="6"/>
    <x v="18"/>
    <s v="否"/>
    <s v="无"/>
    <x v="0"/>
    <x v="0"/>
  </r>
  <r>
    <x v="22"/>
    <x v="26"/>
    <s v="线下门店"/>
    <x v="6"/>
    <x v="2"/>
    <x v="6"/>
    <x v="19"/>
    <s v="否"/>
    <s v="无"/>
    <x v="0"/>
    <x v="0"/>
  </r>
  <r>
    <x v="24"/>
    <x v="27"/>
    <s v="抖音直播"/>
    <x v="6"/>
    <x v="0"/>
    <x v="6"/>
    <x v="20"/>
    <s v="是"/>
    <s v="满减"/>
    <x v="1"/>
    <x v="5"/>
  </r>
  <r>
    <x v="25"/>
    <x v="28"/>
    <s v="拼多多"/>
    <x v="7"/>
    <x v="0"/>
    <x v="7"/>
    <x v="10"/>
    <s v="是"/>
    <s v="秒杀"/>
    <x v="0"/>
    <x v="0"/>
  </r>
  <r>
    <x v="26"/>
    <x v="29"/>
    <s v="京东自营"/>
    <x v="4"/>
    <x v="3"/>
    <x v="8"/>
    <x v="21"/>
    <s v="否"/>
    <s v="无"/>
    <x v="0"/>
    <x v="0"/>
  </r>
  <r>
    <x v="27"/>
    <x v="30"/>
    <s v="微信小程序"/>
    <x v="7"/>
    <x v="0"/>
    <x v="7"/>
    <x v="10"/>
    <s v="是"/>
    <s v="满减"/>
    <x v="0"/>
    <x v="0"/>
  </r>
  <r>
    <x v="28"/>
    <x v="31"/>
    <s v="抖音直播"/>
    <x v="3"/>
    <x v="2"/>
    <x v="3"/>
    <x v="8"/>
    <s v="否"/>
    <s v="无"/>
    <x v="0"/>
    <x v="0"/>
  </r>
  <r>
    <x v="29"/>
    <x v="32"/>
    <s v="线下门店"/>
    <x v="6"/>
    <x v="2"/>
    <x v="6"/>
    <x v="19"/>
    <s v="是"/>
    <s v="满减"/>
    <x v="0"/>
    <x v="0"/>
  </r>
  <r>
    <x v="23"/>
    <x v="33"/>
    <s v="京东自营"/>
    <x v="7"/>
    <x v="3"/>
    <x v="7"/>
    <x v="22"/>
    <s v="是"/>
    <s v="直播特惠"/>
    <x v="0"/>
    <x v="0"/>
  </r>
  <r>
    <x v="30"/>
    <x v="34"/>
    <s v="抖音直播"/>
    <x v="7"/>
    <x v="1"/>
    <x v="7"/>
    <x v="11"/>
    <s v="否"/>
    <s v="无"/>
    <x v="1"/>
    <x v="6"/>
  </r>
  <r>
    <x v="31"/>
    <x v="35"/>
    <s v="微信小程序"/>
    <x v="7"/>
    <x v="3"/>
    <x v="7"/>
    <x v="22"/>
    <s v="否"/>
    <s v="无"/>
    <x v="0"/>
    <x v="0"/>
  </r>
  <r>
    <x v="32"/>
    <x v="36"/>
    <s v="拼多多"/>
    <x v="8"/>
    <x v="0"/>
    <x v="0"/>
    <x v="0"/>
    <s v="是"/>
    <s v="优惠券"/>
    <x v="0"/>
    <x v="0"/>
  </r>
  <r>
    <x v="33"/>
    <x v="37"/>
    <s v="线下门店"/>
    <x v="5"/>
    <x v="2"/>
    <x v="5"/>
    <x v="14"/>
    <s v="否"/>
    <s v="无"/>
    <x v="0"/>
    <x v="0"/>
  </r>
  <r>
    <x v="34"/>
    <x v="38"/>
    <s v="线下门店"/>
    <x v="3"/>
    <x v="1"/>
    <x v="3"/>
    <x v="23"/>
    <s v="是"/>
    <s v="秒杀"/>
    <x v="0"/>
    <x v="0"/>
  </r>
  <r>
    <x v="35"/>
    <x v="39"/>
    <s v="天猫旗舰店"/>
    <x v="7"/>
    <x v="1"/>
    <x v="7"/>
    <x v="11"/>
    <s v="是"/>
    <s v="优惠券"/>
    <x v="0"/>
    <x v="0"/>
  </r>
  <r>
    <x v="36"/>
    <x v="40"/>
    <s v="微信小程序"/>
    <x v="2"/>
    <x v="2"/>
    <x v="2"/>
    <x v="24"/>
    <s v="是"/>
    <s v="直播特惠"/>
    <x v="0"/>
    <x v="0"/>
  </r>
  <r>
    <x v="37"/>
    <x v="41"/>
    <s v="线下门店"/>
    <x v="3"/>
    <x v="0"/>
    <x v="3"/>
    <x v="17"/>
    <s v="否"/>
    <s v="无"/>
    <x v="0"/>
    <x v="0"/>
  </r>
  <r>
    <x v="38"/>
    <x v="42"/>
    <s v="京东自营"/>
    <x v="7"/>
    <x v="2"/>
    <x v="7"/>
    <x v="25"/>
    <s v="是"/>
    <s v="优惠券"/>
    <x v="0"/>
    <x v="0"/>
  </r>
  <r>
    <x v="18"/>
    <x v="43"/>
    <s v="天猫旗舰店"/>
    <x v="4"/>
    <x v="3"/>
    <x v="8"/>
    <x v="21"/>
    <s v="否"/>
    <s v="无"/>
    <x v="0"/>
    <x v="0"/>
  </r>
  <r>
    <x v="11"/>
    <x v="44"/>
    <s v="天猫旗舰店"/>
    <x v="5"/>
    <x v="2"/>
    <x v="5"/>
    <x v="14"/>
    <s v="是"/>
    <s v="优惠券"/>
    <x v="0"/>
    <x v="0"/>
  </r>
  <r>
    <x v="39"/>
    <x v="45"/>
    <s v="天猫旗舰店"/>
    <x v="0"/>
    <x v="2"/>
    <x v="0"/>
    <x v="26"/>
    <s v="否"/>
    <s v="无"/>
    <x v="0"/>
    <x v="0"/>
  </r>
  <r>
    <x v="40"/>
    <x v="46"/>
    <s v="天猫旗舰店"/>
    <x v="6"/>
    <x v="3"/>
    <x v="6"/>
    <x v="13"/>
    <s v="否"/>
    <s v="无"/>
    <x v="1"/>
    <x v="7"/>
  </r>
  <r>
    <x v="29"/>
    <x v="47"/>
    <s v="抖音直播"/>
    <x v="3"/>
    <x v="3"/>
    <x v="3"/>
    <x v="4"/>
    <s v="是"/>
    <s v="直播特惠"/>
    <x v="0"/>
    <x v="0"/>
  </r>
  <r>
    <x v="41"/>
    <x v="48"/>
    <s v="抖音直播"/>
    <x v="5"/>
    <x v="3"/>
    <x v="5"/>
    <x v="16"/>
    <s v="否"/>
    <s v="无"/>
    <x v="0"/>
    <x v="0"/>
  </r>
  <r>
    <x v="42"/>
    <x v="49"/>
    <s v="微信小程序"/>
    <x v="6"/>
    <x v="0"/>
    <x v="6"/>
    <x v="18"/>
    <s v="是"/>
    <s v="直播特惠"/>
    <x v="0"/>
    <x v="0"/>
  </r>
  <r>
    <x v="43"/>
    <x v="50"/>
    <s v="天猫旗舰店"/>
    <x v="0"/>
    <x v="2"/>
    <x v="0"/>
    <x v="26"/>
    <s v="是"/>
    <s v="直播特惠"/>
    <x v="0"/>
    <x v="0"/>
  </r>
  <r>
    <x v="44"/>
    <x v="51"/>
    <s v="京东自营"/>
    <x v="3"/>
    <x v="4"/>
    <x v="3"/>
    <x v="5"/>
    <s v="是"/>
    <s v="优惠券"/>
    <x v="0"/>
    <x v="0"/>
  </r>
  <r>
    <x v="5"/>
    <x v="52"/>
    <s v="抖音直播"/>
    <x v="4"/>
    <x v="1"/>
    <x v="8"/>
    <x v="27"/>
    <s v="否"/>
    <s v="无"/>
    <x v="0"/>
    <x v="0"/>
  </r>
  <r>
    <x v="18"/>
    <x v="53"/>
    <s v="微信小程序"/>
    <x v="1"/>
    <x v="1"/>
    <x v="1"/>
    <x v="12"/>
    <s v="是"/>
    <s v="秒杀"/>
    <x v="0"/>
    <x v="0"/>
  </r>
  <r>
    <x v="23"/>
    <x v="54"/>
    <s v="微信小程序"/>
    <x v="6"/>
    <x v="0"/>
    <x v="6"/>
    <x v="18"/>
    <s v="是"/>
    <s v="满减"/>
    <x v="0"/>
    <x v="0"/>
  </r>
  <r>
    <x v="6"/>
    <x v="55"/>
    <s v="京东自营"/>
    <x v="2"/>
    <x v="3"/>
    <x v="2"/>
    <x v="15"/>
    <s v="是"/>
    <s v="满减"/>
    <x v="0"/>
    <x v="0"/>
  </r>
  <r>
    <x v="15"/>
    <x v="56"/>
    <s v="天猫旗舰店"/>
    <x v="5"/>
    <x v="2"/>
    <x v="5"/>
    <x v="14"/>
    <s v="否"/>
    <s v="无"/>
    <x v="0"/>
    <x v="0"/>
  </r>
  <r>
    <x v="43"/>
    <x v="57"/>
    <s v="京东自营"/>
    <x v="4"/>
    <x v="0"/>
    <x v="8"/>
    <x v="28"/>
    <s v="是"/>
    <s v="秒杀"/>
    <x v="0"/>
    <x v="0"/>
  </r>
  <r>
    <x v="10"/>
    <x v="58"/>
    <s v="微信小程序"/>
    <x v="7"/>
    <x v="0"/>
    <x v="7"/>
    <x v="10"/>
    <s v="是"/>
    <s v="满减"/>
    <x v="0"/>
    <x v="0"/>
  </r>
  <r>
    <x v="45"/>
    <x v="59"/>
    <s v="抖音直播"/>
    <x v="0"/>
    <x v="3"/>
    <x v="0"/>
    <x v="29"/>
    <s v="是"/>
    <s v="直播特惠"/>
    <x v="0"/>
    <x v="0"/>
  </r>
  <r>
    <x v="46"/>
    <x v="60"/>
    <s v="天猫旗舰店"/>
    <x v="1"/>
    <x v="5"/>
    <x v="1"/>
    <x v="30"/>
    <s v="否"/>
    <s v="无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74FAB3-5DFF-40BF-8617-78E3B4123E10}" name="数据透视表1" cacheId="1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4:C21" firstHeaderRow="1" firstDataRow="1" firstDataCol="0"/>
  <pivotFields count="11">
    <pivotField showAll="0">
      <items count="48">
        <item x="33"/>
        <item x="0"/>
        <item x="45"/>
        <item x="40"/>
        <item x="14"/>
        <item x="3"/>
        <item x="8"/>
        <item x="37"/>
        <item x="13"/>
        <item x="27"/>
        <item x="19"/>
        <item x="20"/>
        <item x="9"/>
        <item x="36"/>
        <item x="25"/>
        <item x="18"/>
        <item x="12"/>
        <item x="4"/>
        <item x="5"/>
        <item x="26"/>
        <item x="44"/>
        <item x="28"/>
        <item x="43"/>
        <item x="2"/>
        <item x="1"/>
        <item x="10"/>
        <item x="21"/>
        <item x="34"/>
        <item x="35"/>
        <item x="39"/>
        <item x="16"/>
        <item x="22"/>
        <item x="29"/>
        <item x="31"/>
        <item x="15"/>
        <item x="41"/>
        <item x="24"/>
        <item x="23"/>
        <item x="46"/>
        <item x="42"/>
        <item x="6"/>
        <item x="17"/>
        <item x="7"/>
        <item x="11"/>
        <item x="32"/>
        <item x="30"/>
        <item x="38"/>
        <item t="default"/>
      </items>
    </pivotField>
    <pivotField showAll="0">
      <items count="62">
        <item x="0"/>
        <item x="59"/>
        <item x="46"/>
        <item x="16"/>
        <item x="3"/>
        <item x="9"/>
        <item x="41"/>
        <item x="15"/>
        <item x="30"/>
        <item x="22"/>
        <item x="23"/>
        <item x="11"/>
        <item x="40"/>
        <item x="28"/>
        <item x="43"/>
        <item x="21"/>
        <item x="53"/>
        <item x="14"/>
        <item x="4"/>
        <item x="5"/>
        <item x="6"/>
        <item x="52"/>
        <item x="29"/>
        <item x="51"/>
        <item x="31"/>
        <item x="50"/>
        <item x="57"/>
        <item x="2"/>
        <item x="10"/>
        <item x="1"/>
        <item x="12"/>
        <item x="58"/>
        <item x="17"/>
        <item x="38"/>
        <item x="39"/>
        <item x="45"/>
        <item x="19"/>
        <item x="26"/>
        <item x="24"/>
        <item x="32"/>
        <item x="47"/>
        <item x="37"/>
        <item x="35"/>
        <item x="18"/>
        <item x="56"/>
        <item x="48"/>
        <item x="27"/>
        <item x="33"/>
        <item x="25"/>
        <item x="54"/>
        <item x="60"/>
        <item x="49"/>
        <item x="55"/>
        <item x="7"/>
        <item x="20"/>
        <item x="8"/>
        <item x="44"/>
        <item x="13"/>
        <item x="36"/>
        <item x="34"/>
        <item x="42"/>
        <item t="default"/>
      </items>
    </pivotField>
    <pivotField showAll="0"/>
    <pivotField showAll="0">
      <items count="10">
        <item x="6"/>
        <item h="1" x="2"/>
        <item h="1" x="3"/>
        <item h="1" x="7"/>
        <item x="4"/>
        <item h="1" x="5"/>
        <item h="1" x="1"/>
        <item h="1" x="0"/>
        <item h="1" x="8"/>
        <item t="default"/>
      </items>
    </pivotField>
    <pivotField numFmtId="3" showAll="0">
      <items count="7">
        <item x="5"/>
        <item x="4"/>
        <item x="0"/>
        <item x="3"/>
        <item x="2"/>
        <item x="1"/>
        <item t="default"/>
      </items>
    </pivotField>
    <pivotField numFmtId="4" showAll="0">
      <items count="10">
        <item x="4"/>
        <item x="1"/>
        <item x="5"/>
        <item x="8"/>
        <item x="0"/>
        <item x="2"/>
        <item x="6"/>
        <item x="3"/>
        <item x="7"/>
        <item t="default"/>
      </items>
    </pivotField>
    <pivotField numFmtId="4" showAll="0">
      <items count="32">
        <item x="20"/>
        <item x="30"/>
        <item x="5"/>
        <item x="28"/>
        <item x="7"/>
        <item x="0"/>
        <item x="16"/>
        <item x="2"/>
        <item x="21"/>
        <item x="3"/>
        <item x="14"/>
        <item x="18"/>
        <item x="29"/>
        <item x="12"/>
        <item x="17"/>
        <item x="6"/>
        <item x="10"/>
        <item x="27"/>
        <item x="15"/>
        <item x="26"/>
        <item x="13"/>
        <item x="4"/>
        <item x="1"/>
        <item x="24"/>
        <item x="22"/>
        <item x="19"/>
        <item x="8"/>
        <item x="9"/>
        <item x="25"/>
        <item x="23"/>
        <item x="11"/>
        <item t="default"/>
      </items>
    </pivotField>
    <pivotField showAll="0"/>
    <pivotField showAll="0"/>
    <pivotField showAll="0">
      <items count="3">
        <item h="1" x="0"/>
        <item x="1"/>
        <item t="default"/>
      </items>
    </pivotField>
    <pivotField numFmtId="4" showAll="0">
      <items count="9">
        <item x="0"/>
        <item x="2"/>
        <item x="3"/>
        <item x="5"/>
        <item x="1"/>
        <item x="4"/>
        <item x="7"/>
        <item x="6"/>
        <item t="default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21114-ADF5-48D9-A3C3-3886B3D79A9F}">
  <dimension ref="A4:C21"/>
  <sheetViews>
    <sheetView zoomScaleNormal="100" workbookViewId="0">
      <selection activeCell="H10" sqref="H10"/>
    </sheetView>
  </sheetViews>
  <sheetFormatPr defaultRowHeight="13.9" x14ac:dyDescent="0.4"/>
  <cols>
    <col min="1" max="9" width="9.06640625" bestFit="1" customWidth="1"/>
    <col min="10" max="11" width="4.9296875" bestFit="1" customWidth="1"/>
    <col min="12" max="12" width="10.53125" bestFit="1" customWidth="1"/>
    <col min="13" max="13" width="13.3984375" bestFit="1" customWidth="1"/>
    <col min="14" max="14" width="10.53125" bestFit="1" customWidth="1"/>
    <col min="15" max="15" width="13.3984375" bestFit="1" customWidth="1"/>
    <col min="16" max="16" width="12.53125" bestFit="1" customWidth="1"/>
    <col min="17" max="17" width="15.46484375" bestFit="1" customWidth="1"/>
    <col min="18" max="18" width="8" bestFit="1" customWidth="1"/>
    <col min="19" max="19" width="10.73046875" bestFit="1" customWidth="1"/>
    <col min="20" max="20" width="4.9296875" bestFit="1" customWidth="1"/>
  </cols>
  <sheetData>
    <row r="4" spans="1:3" x14ac:dyDescent="0.4">
      <c r="A4" s="35"/>
      <c r="B4" s="36"/>
      <c r="C4" s="37"/>
    </row>
    <row r="5" spans="1:3" x14ac:dyDescent="0.4">
      <c r="A5" s="38"/>
      <c r="B5" s="39"/>
      <c r="C5" s="40"/>
    </row>
    <row r="6" spans="1:3" x14ac:dyDescent="0.4">
      <c r="A6" s="38"/>
      <c r="B6" s="39"/>
      <c r="C6" s="40"/>
    </row>
    <row r="7" spans="1:3" x14ac:dyDescent="0.4">
      <c r="A7" s="38"/>
      <c r="B7" s="39"/>
      <c r="C7" s="40"/>
    </row>
    <row r="8" spans="1:3" x14ac:dyDescent="0.4">
      <c r="A8" s="38"/>
      <c r="B8" s="39"/>
      <c r="C8" s="40"/>
    </row>
    <row r="9" spans="1:3" x14ac:dyDescent="0.4">
      <c r="A9" s="38"/>
      <c r="B9" s="39"/>
      <c r="C9" s="40"/>
    </row>
    <row r="10" spans="1:3" x14ac:dyDescent="0.4">
      <c r="A10" s="38"/>
      <c r="B10" s="39"/>
      <c r="C10" s="40"/>
    </row>
    <row r="11" spans="1:3" x14ac:dyDescent="0.4">
      <c r="A11" s="38"/>
      <c r="B11" s="39"/>
      <c r="C11" s="40"/>
    </row>
    <row r="12" spans="1:3" x14ac:dyDescent="0.4">
      <c r="A12" s="38"/>
      <c r="B12" s="39"/>
      <c r="C12" s="40"/>
    </row>
    <row r="13" spans="1:3" x14ac:dyDescent="0.4">
      <c r="A13" s="38"/>
      <c r="B13" s="39"/>
      <c r="C13" s="40"/>
    </row>
    <row r="14" spans="1:3" x14ac:dyDescent="0.4">
      <c r="A14" s="38"/>
      <c r="B14" s="39"/>
      <c r="C14" s="40"/>
    </row>
    <row r="15" spans="1:3" x14ac:dyDescent="0.4">
      <c r="A15" s="38"/>
      <c r="B15" s="39"/>
      <c r="C15" s="40"/>
    </row>
    <row r="16" spans="1:3" x14ac:dyDescent="0.4">
      <c r="A16" s="38"/>
      <c r="B16" s="39"/>
      <c r="C16" s="40"/>
    </row>
    <row r="17" spans="1:3" x14ac:dyDescent="0.4">
      <c r="A17" s="38"/>
      <c r="B17" s="39"/>
      <c r="C17" s="40"/>
    </row>
    <row r="18" spans="1:3" x14ac:dyDescent="0.4">
      <c r="A18" s="38"/>
      <c r="B18" s="39"/>
      <c r="C18" s="40"/>
    </row>
    <row r="19" spans="1:3" x14ac:dyDescent="0.4">
      <c r="A19" s="38"/>
      <c r="B19" s="39"/>
      <c r="C19" s="40"/>
    </row>
    <row r="20" spans="1:3" x14ac:dyDescent="0.4">
      <c r="A20" s="38"/>
      <c r="B20" s="39"/>
      <c r="C20" s="40"/>
    </row>
    <row r="21" spans="1:3" x14ac:dyDescent="0.4">
      <c r="A21" s="41"/>
      <c r="B21" s="42"/>
      <c r="C21" s="43"/>
    </row>
  </sheetData>
  <phoneticPr fontId="7" type="noConversion"/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0C81A-609F-47D7-9477-74A4E0864060}">
  <sheetPr>
    <outlinePr summaryBelow="0" summaryRight="0"/>
  </sheetPr>
  <dimension ref="A1:K63"/>
  <sheetViews>
    <sheetView workbookViewId="0">
      <pane ySplit="1" topLeftCell="A2" activePane="bottomLeft" state="frozen"/>
      <selection pane="bottomLeft" activeCell="L1" sqref="L1"/>
    </sheetView>
  </sheetViews>
  <sheetFormatPr defaultColWidth="8" defaultRowHeight="13.9" x14ac:dyDescent="0.4"/>
  <cols>
    <col min="1" max="1" width="12" customWidth="1"/>
    <col min="2" max="2" width="18" customWidth="1"/>
    <col min="3" max="3" width="12" customWidth="1"/>
    <col min="4" max="4" width="16" customWidth="1"/>
    <col min="5" max="5" width="9" customWidth="1"/>
    <col min="6" max="6" width="8" customWidth="1"/>
    <col min="7" max="7" width="10" customWidth="1"/>
    <col min="8" max="8" width="9" customWidth="1"/>
    <col min="9" max="9" width="10" customWidth="1"/>
    <col min="10" max="10" width="9" customWidth="1"/>
    <col min="11" max="11" width="10" customWidth="1"/>
  </cols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4.25" x14ac:dyDescent="0.4">
      <c r="A2" s="2">
        <v>46206</v>
      </c>
      <c r="B2" s="3" t="s">
        <v>11</v>
      </c>
      <c r="C2" s="3" t="s">
        <v>12</v>
      </c>
      <c r="D2" s="3" t="s">
        <v>13</v>
      </c>
      <c r="E2" s="4">
        <v>1</v>
      </c>
      <c r="F2" s="5">
        <v>89</v>
      </c>
      <c r="G2" s="5">
        <v>89</v>
      </c>
      <c r="H2" s="6" t="s">
        <v>14</v>
      </c>
      <c r="I2" s="3" t="s">
        <v>15</v>
      </c>
      <c r="J2" s="6" t="s">
        <v>16</v>
      </c>
      <c r="K2" s="5">
        <v>0</v>
      </c>
    </row>
    <row r="3" spans="1:11" ht="14.25" x14ac:dyDescent="0.4">
      <c r="A3" s="2">
        <v>46251</v>
      </c>
      <c r="B3" s="3" t="s">
        <v>17</v>
      </c>
      <c r="C3" s="3" t="s">
        <v>18</v>
      </c>
      <c r="D3" s="3" t="s">
        <v>19</v>
      </c>
      <c r="E3" s="4">
        <v>4</v>
      </c>
      <c r="F3" s="5">
        <v>89</v>
      </c>
      <c r="G3" s="5">
        <v>356</v>
      </c>
      <c r="H3" s="6" t="s">
        <v>20</v>
      </c>
      <c r="I3" s="3" t="s">
        <v>21</v>
      </c>
      <c r="J3" s="6" t="s">
        <v>22</v>
      </c>
      <c r="K3" s="5">
        <v>0</v>
      </c>
    </row>
    <row r="4" spans="1:11" ht="14.25" x14ac:dyDescent="0.4">
      <c r="A4" s="2">
        <v>46249</v>
      </c>
      <c r="B4" s="3" t="s">
        <v>23</v>
      </c>
      <c r="C4" s="3" t="s">
        <v>24</v>
      </c>
      <c r="D4" s="3" t="s">
        <v>25</v>
      </c>
      <c r="E4" s="4">
        <v>3</v>
      </c>
      <c r="F4" s="5">
        <v>39</v>
      </c>
      <c r="G4" s="5">
        <v>117</v>
      </c>
      <c r="H4" s="6" t="s">
        <v>26</v>
      </c>
      <c r="I4" s="3" t="s">
        <v>27</v>
      </c>
      <c r="J4" s="6" t="s">
        <v>28</v>
      </c>
      <c r="K4" s="5">
        <v>0</v>
      </c>
    </row>
    <row r="5" spans="1:11" ht="14.25" x14ac:dyDescent="0.4">
      <c r="A5" s="2">
        <v>46216</v>
      </c>
      <c r="B5" s="3" t="s">
        <v>29</v>
      </c>
      <c r="C5" s="3" t="s">
        <v>30</v>
      </c>
      <c r="D5" s="3" t="s">
        <v>31</v>
      </c>
      <c r="E5" s="4">
        <v>1</v>
      </c>
      <c r="F5" s="5">
        <v>129</v>
      </c>
      <c r="G5" s="5">
        <v>129</v>
      </c>
      <c r="H5" s="6" t="s">
        <v>32</v>
      </c>
      <c r="I5" s="3" t="s">
        <v>33</v>
      </c>
      <c r="J5" s="6" t="s">
        <v>34</v>
      </c>
      <c r="K5" s="5">
        <v>0</v>
      </c>
    </row>
    <row r="6" spans="1:11" ht="14.25" x14ac:dyDescent="0.4">
      <c r="A6" s="2">
        <v>46237</v>
      </c>
      <c r="B6" s="3" t="s">
        <v>35</v>
      </c>
      <c r="C6" s="3" t="s">
        <v>36</v>
      </c>
      <c r="D6" s="3" t="s">
        <v>37</v>
      </c>
      <c r="E6" s="4">
        <v>2</v>
      </c>
      <c r="F6" s="5">
        <v>169</v>
      </c>
      <c r="G6" s="5">
        <v>338</v>
      </c>
      <c r="H6" s="6" t="s">
        <v>38</v>
      </c>
      <c r="I6" s="3" t="s">
        <v>39</v>
      </c>
      <c r="J6" s="6" t="s">
        <v>40</v>
      </c>
      <c r="K6" s="5">
        <v>0</v>
      </c>
    </row>
    <row r="7" spans="1:11" ht="14.25" x14ac:dyDescent="0.4">
      <c r="A7" s="2">
        <v>46237</v>
      </c>
      <c r="B7" s="3" t="s">
        <v>41</v>
      </c>
      <c r="C7" s="3" t="s">
        <v>42</v>
      </c>
      <c r="D7" s="3" t="s">
        <v>43</v>
      </c>
      <c r="E7" s="4">
        <v>2</v>
      </c>
      <c r="F7" s="5">
        <v>0</v>
      </c>
      <c r="G7" s="5">
        <v>0</v>
      </c>
      <c r="H7" s="6" t="s">
        <v>44</v>
      </c>
      <c r="I7" s="3" t="s">
        <v>45</v>
      </c>
      <c r="J7" s="6" t="s">
        <v>46</v>
      </c>
      <c r="K7" s="5">
        <v>0</v>
      </c>
    </row>
    <row r="8" spans="1:11" ht="14.25" x14ac:dyDescent="0.4">
      <c r="A8" s="2">
        <v>46239</v>
      </c>
      <c r="B8" s="3" t="s">
        <v>47</v>
      </c>
      <c r="C8" s="3" t="s">
        <v>48</v>
      </c>
      <c r="D8" s="3" t="s">
        <v>49</v>
      </c>
      <c r="E8" s="4">
        <v>4</v>
      </c>
      <c r="F8" s="5">
        <v>49</v>
      </c>
      <c r="G8" s="5">
        <v>196</v>
      </c>
      <c r="H8" s="6" t="s">
        <v>50</v>
      </c>
      <c r="I8" s="3" t="s">
        <v>51</v>
      </c>
      <c r="J8" s="6" t="s">
        <v>52</v>
      </c>
      <c r="K8" s="5">
        <v>0</v>
      </c>
    </row>
    <row r="9" spans="1:11" ht="14.25" x14ac:dyDescent="0.4">
      <c r="A9" s="2">
        <v>46283</v>
      </c>
      <c r="B9" s="3" t="s">
        <v>53</v>
      </c>
      <c r="C9" s="3" t="s">
        <v>54</v>
      </c>
      <c r="D9" s="3" t="s">
        <v>55</v>
      </c>
      <c r="E9" s="4">
        <v>2</v>
      </c>
      <c r="F9" s="5">
        <v>39</v>
      </c>
      <c r="G9" s="5">
        <v>78</v>
      </c>
      <c r="H9" s="6" t="s">
        <v>56</v>
      </c>
      <c r="I9" s="3" t="s">
        <v>57</v>
      </c>
      <c r="J9" s="6" t="s">
        <v>58</v>
      </c>
      <c r="K9" s="5">
        <v>0</v>
      </c>
    </row>
    <row r="10" spans="1:11" ht="14.25" x14ac:dyDescent="0.4">
      <c r="A10" s="2">
        <v>46285</v>
      </c>
      <c r="B10" s="3" t="s">
        <v>59</v>
      </c>
      <c r="C10" s="3" t="s">
        <v>60</v>
      </c>
      <c r="D10" s="3" t="s">
        <v>61</v>
      </c>
      <c r="E10" s="4">
        <v>3</v>
      </c>
      <c r="F10" s="5">
        <v>169</v>
      </c>
      <c r="G10" s="5">
        <v>507</v>
      </c>
      <c r="H10" s="6" t="s">
        <v>62</v>
      </c>
      <c r="I10" s="3" t="s">
        <v>63</v>
      </c>
      <c r="J10" s="6" t="s">
        <v>64</v>
      </c>
      <c r="K10" s="5">
        <v>253.5</v>
      </c>
    </row>
    <row r="11" spans="1:11" ht="14.25" x14ac:dyDescent="0.4">
      <c r="A11" s="2">
        <v>46217</v>
      </c>
      <c r="B11" s="3" t="s">
        <v>65</v>
      </c>
      <c r="C11" s="3" t="s">
        <v>66</v>
      </c>
      <c r="D11" s="3" t="s">
        <v>67</v>
      </c>
      <c r="E11" s="4">
        <v>4</v>
      </c>
      <c r="F11" s="5">
        <v>149</v>
      </c>
      <c r="G11" s="5">
        <v>596</v>
      </c>
      <c r="H11" s="6" t="s">
        <v>68</v>
      </c>
      <c r="I11" s="3" t="s">
        <v>69</v>
      </c>
      <c r="J11" s="6" t="s">
        <v>70</v>
      </c>
      <c r="K11" s="5">
        <v>0</v>
      </c>
    </row>
    <row r="12" spans="1:11" ht="14.25" x14ac:dyDescent="0.4">
      <c r="A12" s="2">
        <v>46249</v>
      </c>
      <c r="B12" s="3" t="s">
        <v>71</v>
      </c>
      <c r="C12" s="3" t="s">
        <v>72</v>
      </c>
      <c r="D12" s="3" t="s">
        <v>73</v>
      </c>
      <c r="E12" s="4">
        <v>1</v>
      </c>
      <c r="F12" s="5">
        <v>199</v>
      </c>
      <c r="G12" s="5">
        <v>199</v>
      </c>
      <c r="H12" s="6" t="s">
        <v>74</v>
      </c>
      <c r="I12" s="3" t="s">
        <v>75</v>
      </c>
      <c r="J12" s="6" t="s">
        <v>76</v>
      </c>
      <c r="K12" s="5">
        <v>0</v>
      </c>
    </row>
    <row r="13" spans="1:11" ht="14.25" x14ac:dyDescent="0.4">
      <c r="A13" s="2">
        <v>46225</v>
      </c>
      <c r="B13" s="3" t="s">
        <v>77</v>
      </c>
      <c r="C13" s="3" t="s">
        <v>78</v>
      </c>
      <c r="D13" s="3" t="s">
        <v>79</v>
      </c>
      <c r="E13" s="4">
        <v>4</v>
      </c>
      <c r="F13" s="5">
        <v>199</v>
      </c>
      <c r="G13" s="5">
        <v>796</v>
      </c>
      <c r="H13" s="6" t="s">
        <v>80</v>
      </c>
      <c r="I13" s="3" t="s">
        <v>81</v>
      </c>
      <c r="J13" s="6" t="s">
        <v>82</v>
      </c>
      <c r="K13" s="5">
        <v>0</v>
      </c>
    </row>
    <row r="14" spans="1:11" ht="14.25" x14ac:dyDescent="0.4">
      <c r="A14" s="2">
        <v>46254</v>
      </c>
      <c r="B14" s="3" t="s">
        <v>83</v>
      </c>
      <c r="C14" s="3" t="s">
        <v>84</v>
      </c>
      <c r="D14" s="3" t="s">
        <v>85</v>
      </c>
      <c r="E14" s="4">
        <v>1</v>
      </c>
      <c r="F14" s="5">
        <v>129</v>
      </c>
      <c r="G14" s="5">
        <v>129</v>
      </c>
      <c r="H14" s="6" t="s">
        <v>86</v>
      </c>
      <c r="I14" s="3" t="s">
        <v>87</v>
      </c>
      <c r="J14" s="6" t="s">
        <v>88</v>
      </c>
      <c r="K14" s="5">
        <v>0</v>
      </c>
    </row>
    <row r="15" spans="1:11" ht="14.25" x14ac:dyDescent="0.4">
      <c r="A15" s="2">
        <v>46286</v>
      </c>
      <c r="B15" s="3" t="s">
        <v>89</v>
      </c>
      <c r="C15" s="3" t="s">
        <v>90</v>
      </c>
      <c r="D15" s="3" t="s">
        <v>91</v>
      </c>
      <c r="E15" s="4">
        <v>4</v>
      </c>
      <c r="F15" s="5">
        <v>39</v>
      </c>
      <c r="G15" s="5">
        <v>156</v>
      </c>
      <c r="H15" s="6" t="s">
        <v>92</v>
      </c>
      <c r="I15" s="3" t="s">
        <v>93</v>
      </c>
      <c r="J15" s="6" t="s">
        <v>94</v>
      </c>
      <c r="K15" s="5">
        <v>78</v>
      </c>
    </row>
    <row r="16" spans="1:11" ht="14.25" x14ac:dyDescent="0.4">
      <c r="A16" s="2">
        <v>46236</v>
      </c>
      <c r="B16" s="3" t="s">
        <v>95</v>
      </c>
      <c r="C16" s="3" t="s">
        <v>96</v>
      </c>
      <c r="D16" s="3" t="s">
        <v>97</v>
      </c>
      <c r="E16" s="4">
        <v>2</v>
      </c>
      <c r="F16" s="5">
        <v>39</v>
      </c>
      <c r="G16" s="5">
        <v>78</v>
      </c>
      <c r="H16" s="6" t="s">
        <v>98</v>
      </c>
      <c r="I16" s="3" t="s">
        <v>99</v>
      </c>
      <c r="J16" s="6" t="s">
        <v>100</v>
      </c>
      <c r="K16" s="5">
        <v>0</v>
      </c>
    </row>
    <row r="17" spans="1:11" ht="14.25" x14ac:dyDescent="0.4">
      <c r="A17" s="2">
        <v>46219</v>
      </c>
      <c r="B17" s="3" t="s">
        <v>101</v>
      </c>
      <c r="C17" s="3" t="s">
        <v>102</v>
      </c>
      <c r="D17" s="3" t="s">
        <v>103</v>
      </c>
      <c r="E17" s="4">
        <v>1</v>
      </c>
      <c r="F17" s="5">
        <v>89</v>
      </c>
      <c r="G17" s="5">
        <v>89</v>
      </c>
      <c r="H17" s="6" t="s">
        <v>104</v>
      </c>
      <c r="I17" s="3" t="s">
        <v>105</v>
      </c>
      <c r="J17" s="6" t="s">
        <v>106</v>
      </c>
      <c r="K17" s="5">
        <v>89</v>
      </c>
    </row>
    <row r="18" spans="1:11" ht="14.25" x14ac:dyDescent="0.4">
      <c r="A18" s="2">
        <v>46214</v>
      </c>
      <c r="B18" s="3" t="s">
        <v>107</v>
      </c>
      <c r="C18" s="3" t="s">
        <v>108</v>
      </c>
      <c r="D18" s="3" t="s">
        <v>109</v>
      </c>
      <c r="E18" s="4">
        <v>2</v>
      </c>
      <c r="F18" s="5">
        <v>149</v>
      </c>
      <c r="G18" s="5">
        <v>298</v>
      </c>
      <c r="H18" s="6" t="s">
        <v>110</v>
      </c>
      <c r="I18" s="3" t="s">
        <v>111</v>
      </c>
      <c r="J18" s="6" t="s">
        <v>112</v>
      </c>
      <c r="K18" s="5">
        <v>0</v>
      </c>
    </row>
    <row r="19" spans="1:11" ht="14.25" x14ac:dyDescent="0.4">
      <c r="A19" s="2">
        <v>46254</v>
      </c>
      <c r="B19" s="3" t="s">
        <v>113</v>
      </c>
      <c r="C19" s="3" t="s">
        <v>114</v>
      </c>
      <c r="D19" s="3" t="s">
        <v>115</v>
      </c>
      <c r="E19" s="4">
        <v>2</v>
      </c>
      <c r="F19" s="5">
        <v>39</v>
      </c>
      <c r="G19" s="5">
        <v>78</v>
      </c>
      <c r="H19" s="6" t="s">
        <v>116</v>
      </c>
      <c r="I19" s="3" t="s">
        <v>117</v>
      </c>
      <c r="J19" s="6" t="s">
        <v>118</v>
      </c>
      <c r="K19" s="5">
        <v>0</v>
      </c>
    </row>
    <row r="20" spans="1:11" ht="14.25" x14ac:dyDescent="0.4">
      <c r="A20" s="2">
        <v>46271</v>
      </c>
      <c r="B20" s="3" t="s">
        <v>119</v>
      </c>
      <c r="C20" s="3" t="s">
        <v>120</v>
      </c>
      <c r="D20" s="3" t="s">
        <v>121</v>
      </c>
      <c r="E20" s="4">
        <v>3</v>
      </c>
      <c r="F20" s="5">
        <v>49</v>
      </c>
      <c r="G20" s="5">
        <v>147</v>
      </c>
      <c r="H20" s="6" t="s">
        <v>122</v>
      </c>
      <c r="I20" s="3" t="s">
        <v>123</v>
      </c>
      <c r="J20" s="6" t="s">
        <v>124</v>
      </c>
      <c r="K20" s="5">
        <v>0</v>
      </c>
    </row>
    <row r="21" spans="1:11" ht="14.25" x14ac:dyDescent="0.4">
      <c r="A21" s="2">
        <v>46263</v>
      </c>
      <c r="B21" s="3" t="s">
        <v>125</v>
      </c>
      <c r="C21" s="3" t="s">
        <v>126</v>
      </c>
      <c r="D21" s="3" t="s">
        <v>127</v>
      </c>
      <c r="E21" s="4">
        <v>2</v>
      </c>
      <c r="F21" s="5">
        <v>129</v>
      </c>
      <c r="G21" s="5">
        <v>258</v>
      </c>
      <c r="H21" s="6" t="s">
        <v>128</v>
      </c>
      <c r="I21" s="3" t="s">
        <v>129</v>
      </c>
      <c r="J21" s="6" t="s">
        <v>130</v>
      </c>
      <c r="K21" s="5">
        <v>0</v>
      </c>
    </row>
    <row r="22" spans="1:11" ht="14.25" x14ac:dyDescent="0.4">
      <c r="A22" s="2">
        <v>46284</v>
      </c>
      <c r="B22" s="3" t="s">
        <v>131</v>
      </c>
      <c r="C22" s="3" t="s">
        <v>132</v>
      </c>
      <c r="D22" s="3" t="s">
        <v>133</v>
      </c>
      <c r="E22" s="4">
        <v>4</v>
      </c>
      <c r="F22" s="5">
        <v>89</v>
      </c>
      <c r="G22" s="5">
        <v>356</v>
      </c>
      <c r="H22" s="6" t="s">
        <v>134</v>
      </c>
      <c r="I22" s="3" t="s">
        <v>135</v>
      </c>
      <c r="J22" s="6" t="s">
        <v>136</v>
      </c>
      <c r="K22" s="5">
        <v>0</v>
      </c>
    </row>
    <row r="23" spans="1:11" ht="14.25" x14ac:dyDescent="0.4">
      <c r="A23" s="2">
        <v>46235</v>
      </c>
      <c r="B23" s="3" t="s">
        <v>137</v>
      </c>
      <c r="C23" s="3" t="s">
        <v>138</v>
      </c>
      <c r="D23" s="3" t="s">
        <v>139</v>
      </c>
      <c r="E23" s="4">
        <v>2</v>
      </c>
      <c r="F23" s="5">
        <v>49</v>
      </c>
      <c r="G23" s="5">
        <v>98</v>
      </c>
      <c r="H23" s="6" t="s">
        <v>140</v>
      </c>
      <c r="I23" s="3" t="s">
        <v>141</v>
      </c>
      <c r="J23" s="6" t="s">
        <v>142</v>
      </c>
      <c r="K23" s="5">
        <v>0</v>
      </c>
    </row>
    <row r="24" spans="1:11" ht="14.25" x14ac:dyDescent="0.4">
      <c r="A24" s="2">
        <v>46221</v>
      </c>
      <c r="B24" s="3" t="s">
        <v>143</v>
      </c>
      <c r="C24" s="3" t="s">
        <v>144</v>
      </c>
      <c r="D24" s="3" t="s">
        <v>145</v>
      </c>
      <c r="E24" s="4">
        <v>1</v>
      </c>
      <c r="F24" s="5">
        <v>199</v>
      </c>
      <c r="G24" s="5">
        <v>199</v>
      </c>
      <c r="H24" s="6" t="s">
        <v>146</v>
      </c>
      <c r="I24" s="3" t="s">
        <v>147</v>
      </c>
      <c r="J24" s="6" t="s">
        <v>148</v>
      </c>
      <c r="K24" s="5">
        <v>260</v>
      </c>
    </row>
    <row r="25" spans="1:11" ht="14.25" x14ac:dyDescent="0.4">
      <c r="A25" s="2">
        <v>46222</v>
      </c>
      <c r="B25" s="3" t="s">
        <v>149</v>
      </c>
      <c r="C25" s="3" t="s">
        <v>150</v>
      </c>
      <c r="D25" s="3" t="s">
        <v>151</v>
      </c>
      <c r="E25" s="4">
        <v>1</v>
      </c>
      <c r="F25" s="5">
        <v>169</v>
      </c>
      <c r="G25" s="5">
        <v>169</v>
      </c>
      <c r="H25" s="6" t="s">
        <v>152</v>
      </c>
      <c r="I25" s="3" t="s">
        <v>153</v>
      </c>
      <c r="J25" s="6" t="s">
        <v>154</v>
      </c>
      <c r="K25" s="5">
        <v>0</v>
      </c>
    </row>
    <row r="26" spans="1:11" ht="14.25" x14ac:dyDescent="0.4">
      <c r="A26" s="2">
        <v>46255</v>
      </c>
      <c r="B26" s="3" t="s">
        <v>155</v>
      </c>
      <c r="C26" s="3" t="s">
        <v>156</v>
      </c>
      <c r="D26" s="3" t="s">
        <v>157</v>
      </c>
      <c r="E26" s="4">
        <v>2</v>
      </c>
      <c r="F26" s="5">
        <v>129</v>
      </c>
      <c r="G26" s="5">
        <v>258</v>
      </c>
      <c r="H26" s="6" t="s">
        <v>158</v>
      </c>
      <c r="I26" s="3" t="s">
        <v>159</v>
      </c>
      <c r="J26" s="6" t="s">
        <v>160</v>
      </c>
      <c r="K26" s="5">
        <v>0</v>
      </c>
    </row>
    <row r="27" spans="1:11" ht="14.25" x14ac:dyDescent="0.4">
      <c r="A27" s="2">
        <v>46264</v>
      </c>
      <c r="B27" s="3" t="s">
        <v>161</v>
      </c>
      <c r="C27" s="3" t="s">
        <v>162</v>
      </c>
      <c r="D27" s="3" t="s">
        <v>163</v>
      </c>
      <c r="E27" s="4">
        <v>2</v>
      </c>
      <c r="F27" s="5">
        <v>129</v>
      </c>
      <c r="G27" s="5">
        <v>258</v>
      </c>
      <c r="H27" s="6" t="s">
        <v>164</v>
      </c>
      <c r="I27" s="3" t="s">
        <v>165</v>
      </c>
      <c r="J27" s="6" t="s">
        <v>166</v>
      </c>
      <c r="K27" s="5">
        <v>0</v>
      </c>
    </row>
    <row r="28" spans="1:11" ht="14.25" x14ac:dyDescent="0.4">
      <c r="A28" s="2">
        <v>46279</v>
      </c>
      <c r="B28" s="3" t="s">
        <v>167</v>
      </c>
      <c r="C28" s="3" t="s">
        <v>168</v>
      </c>
      <c r="D28" s="3" t="s">
        <v>169</v>
      </c>
      <c r="E28" s="4">
        <v>1</v>
      </c>
      <c r="F28" s="5">
        <v>149</v>
      </c>
      <c r="G28" s="5">
        <v>149</v>
      </c>
      <c r="H28" s="6" t="s">
        <v>170</v>
      </c>
      <c r="I28" s="3" t="s">
        <v>171</v>
      </c>
      <c r="J28" s="6" t="s">
        <v>172</v>
      </c>
      <c r="K28" s="5">
        <v>0</v>
      </c>
    </row>
    <row r="29" spans="1:11" ht="14.25" x14ac:dyDescent="0.4">
      <c r="A29" s="2">
        <v>46264</v>
      </c>
      <c r="B29" s="3" t="s">
        <v>173</v>
      </c>
      <c r="C29" s="3" t="s">
        <v>174</v>
      </c>
      <c r="D29" s="3" t="s">
        <v>175</v>
      </c>
      <c r="E29" s="4">
        <v>3</v>
      </c>
      <c r="F29" s="5">
        <v>149</v>
      </c>
      <c r="G29" s="5">
        <v>447</v>
      </c>
      <c r="H29" s="6" t="s">
        <v>176</v>
      </c>
      <c r="I29" s="3" t="s">
        <v>177</v>
      </c>
      <c r="J29" s="6" t="s">
        <v>178</v>
      </c>
      <c r="K29" s="5">
        <v>0</v>
      </c>
    </row>
    <row r="30" spans="1:11" ht="14.25" x14ac:dyDescent="0.4">
      <c r="A30" s="2">
        <v>46275</v>
      </c>
      <c r="B30" s="3" t="s">
        <v>179</v>
      </c>
      <c r="C30" s="3" t="s">
        <v>180</v>
      </c>
      <c r="D30" s="3" t="s">
        <v>181</v>
      </c>
      <c r="E30" s="4">
        <v>1</v>
      </c>
      <c r="F30" s="5">
        <v>149</v>
      </c>
      <c r="G30" s="5">
        <v>-149</v>
      </c>
      <c r="H30" s="6" t="s">
        <v>182</v>
      </c>
      <c r="I30" s="3" t="s">
        <v>183</v>
      </c>
      <c r="J30" s="6" t="s">
        <v>184</v>
      </c>
      <c r="K30" s="5">
        <v>149</v>
      </c>
    </row>
    <row r="31" spans="1:11" ht="14.25" x14ac:dyDescent="0.4">
      <c r="A31" s="2">
        <v>46230</v>
      </c>
      <c r="B31" s="3" t="s">
        <v>185</v>
      </c>
      <c r="C31" s="3" t="s">
        <v>186</v>
      </c>
      <c r="D31" s="3" t="s">
        <v>187</v>
      </c>
      <c r="E31" s="4">
        <v>1</v>
      </c>
      <c r="F31" s="5">
        <v>199</v>
      </c>
      <c r="G31" s="5">
        <v>199</v>
      </c>
      <c r="H31" s="6" t="s">
        <v>188</v>
      </c>
      <c r="I31" s="3" t="s">
        <v>189</v>
      </c>
      <c r="J31" s="6" t="s">
        <v>190</v>
      </c>
      <c r="K31" s="5">
        <v>0</v>
      </c>
    </row>
    <row r="32" spans="1:11" ht="14.25" x14ac:dyDescent="0.4">
      <c r="A32" s="2">
        <v>46243</v>
      </c>
      <c r="B32" s="3" t="s">
        <v>191</v>
      </c>
      <c r="C32" s="3" t="s">
        <v>192</v>
      </c>
      <c r="D32" s="3" t="s">
        <v>193</v>
      </c>
      <c r="E32" s="4">
        <v>2</v>
      </c>
      <c r="F32" s="5">
        <v>59</v>
      </c>
      <c r="G32" s="5">
        <v>118</v>
      </c>
      <c r="H32" s="6" t="s">
        <v>194</v>
      </c>
      <c r="I32" s="3" t="s">
        <v>195</v>
      </c>
      <c r="J32" s="6" t="s">
        <v>196</v>
      </c>
      <c r="K32" s="5">
        <v>0</v>
      </c>
    </row>
    <row r="33" spans="1:11" ht="14.25" x14ac:dyDescent="0.4">
      <c r="A33" s="2">
        <v>46220</v>
      </c>
      <c r="B33" s="3" t="s">
        <v>197</v>
      </c>
      <c r="C33" s="3" t="s">
        <v>198</v>
      </c>
      <c r="D33" s="3" t="s">
        <v>199</v>
      </c>
      <c r="E33" s="4">
        <v>1</v>
      </c>
      <c r="F33" s="5">
        <v>199</v>
      </c>
      <c r="G33" s="5">
        <v>199</v>
      </c>
      <c r="H33" s="6" t="s">
        <v>200</v>
      </c>
      <c r="I33" s="3" t="s">
        <v>201</v>
      </c>
      <c r="J33" s="6" t="s">
        <v>202</v>
      </c>
      <c r="K33" s="5">
        <v>0</v>
      </c>
    </row>
    <row r="34" spans="1:11" ht="14.25" x14ac:dyDescent="0.4">
      <c r="A34" s="2">
        <v>46247</v>
      </c>
      <c r="B34" s="3" t="s">
        <v>203</v>
      </c>
      <c r="C34" s="3" t="s">
        <v>204</v>
      </c>
      <c r="D34" s="3" t="s">
        <v>205</v>
      </c>
      <c r="E34" s="4">
        <v>3</v>
      </c>
      <c r="F34" s="5">
        <v>169</v>
      </c>
      <c r="G34" s="5">
        <v>507</v>
      </c>
      <c r="H34" s="6" t="s">
        <v>206</v>
      </c>
      <c r="I34" s="3" t="s">
        <v>207</v>
      </c>
      <c r="J34" s="6" t="s">
        <v>208</v>
      </c>
      <c r="K34" s="5">
        <v>0</v>
      </c>
    </row>
    <row r="35" spans="1:11" ht="14.25" x14ac:dyDescent="0.4">
      <c r="A35" s="2">
        <v>46266</v>
      </c>
      <c r="B35" s="3" t="s">
        <v>209</v>
      </c>
      <c r="C35" s="3" t="s">
        <v>210</v>
      </c>
      <c r="D35" s="3" t="s">
        <v>211</v>
      </c>
      <c r="E35" s="4">
        <v>3</v>
      </c>
      <c r="F35" s="5">
        <v>149</v>
      </c>
      <c r="G35" s="5">
        <v>447</v>
      </c>
      <c r="H35" s="6" t="s">
        <v>212</v>
      </c>
      <c r="I35" s="3" t="s">
        <v>213</v>
      </c>
      <c r="J35" s="6" t="s">
        <v>214</v>
      </c>
      <c r="K35" s="5">
        <v>0</v>
      </c>
    </row>
    <row r="36" spans="1:11" ht="14.25" x14ac:dyDescent="0.4">
      <c r="A36" s="2">
        <v>46279</v>
      </c>
      <c r="B36" s="3" t="s">
        <v>215</v>
      </c>
      <c r="C36" s="3" t="s">
        <v>216</v>
      </c>
      <c r="D36" s="3" t="s">
        <v>217</v>
      </c>
      <c r="E36" s="4">
        <v>2</v>
      </c>
      <c r="F36" s="5">
        <v>199</v>
      </c>
      <c r="G36" s="5">
        <v>398</v>
      </c>
      <c r="H36" s="6" t="s">
        <v>218</v>
      </c>
      <c r="I36" s="3" t="s">
        <v>219</v>
      </c>
      <c r="J36" s="6" t="s">
        <v>220</v>
      </c>
      <c r="K36" s="5">
        <v>0</v>
      </c>
    </row>
    <row r="37" spans="1:11" ht="14.25" x14ac:dyDescent="0.4">
      <c r="A37" s="2">
        <v>46290</v>
      </c>
      <c r="B37" s="3" t="s">
        <v>221</v>
      </c>
      <c r="C37" s="3" t="s">
        <v>222</v>
      </c>
      <c r="D37" s="3" t="s">
        <v>223</v>
      </c>
      <c r="E37" s="4">
        <v>4</v>
      </c>
      <c r="F37" s="5">
        <v>199</v>
      </c>
      <c r="G37" s="5">
        <v>796</v>
      </c>
      <c r="H37" s="6" t="s">
        <v>224</v>
      </c>
      <c r="I37" s="3" t="s">
        <v>225</v>
      </c>
      <c r="J37" s="6" t="s">
        <v>226</v>
      </c>
      <c r="K37" s="5">
        <v>477.6</v>
      </c>
    </row>
    <row r="38" spans="1:11" ht="14.25" x14ac:dyDescent="0.4">
      <c r="A38" s="2">
        <v>46267</v>
      </c>
      <c r="B38" s="3" t="s">
        <v>227</v>
      </c>
      <c r="C38" s="3" t="s">
        <v>228</v>
      </c>
      <c r="D38" s="3" t="s">
        <v>229</v>
      </c>
      <c r="E38" s="4">
        <v>2</v>
      </c>
      <c r="F38" s="5">
        <v>199</v>
      </c>
      <c r="G38" s="5">
        <v>398</v>
      </c>
      <c r="H38" s="6" t="s">
        <v>230</v>
      </c>
      <c r="I38" s="3" t="s">
        <v>231</v>
      </c>
      <c r="J38" s="6" t="s">
        <v>232</v>
      </c>
      <c r="K38" s="5">
        <v>0</v>
      </c>
    </row>
    <row r="39" spans="1:11" ht="14.25" x14ac:dyDescent="0.4">
      <c r="A39" s="2">
        <v>46287</v>
      </c>
      <c r="B39" s="3" t="s">
        <v>233</v>
      </c>
      <c r="C39" s="3" t="s">
        <v>234</v>
      </c>
      <c r="D39" s="3"/>
      <c r="E39" s="4">
        <v>1</v>
      </c>
      <c r="F39" s="5">
        <v>89</v>
      </c>
      <c r="G39" s="5">
        <v>89</v>
      </c>
      <c r="H39" s="6" t="s">
        <v>235</v>
      </c>
      <c r="I39" s="3" t="s">
        <v>236</v>
      </c>
      <c r="J39" s="6" t="s">
        <v>237</v>
      </c>
      <c r="K39" s="5">
        <v>0</v>
      </c>
    </row>
    <row r="40" spans="1:11" ht="14.25" x14ac:dyDescent="0.4">
      <c r="A40" s="3" t="s">
        <v>238</v>
      </c>
      <c r="B40" s="3" t="s">
        <v>239</v>
      </c>
      <c r="C40" s="3" t="s">
        <v>240</v>
      </c>
      <c r="D40" s="3" t="s">
        <v>241</v>
      </c>
      <c r="E40" s="4">
        <v>3</v>
      </c>
      <c r="F40" s="5">
        <v>49</v>
      </c>
      <c r="G40" s="5">
        <v>147</v>
      </c>
      <c r="H40" s="6" t="s">
        <v>242</v>
      </c>
      <c r="I40" s="3" t="s">
        <v>243</v>
      </c>
      <c r="J40" s="6" t="s">
        <v>244</v>
      </c>
      <c r="K40" s="5">
        <v>0</v>
      </c>
    </row>
    <row r="41" spans="1:11" ht="14.25" x14ac:dyDescent="0.4">
      <c r="A41" s="2">
        <v>46257</v>
      </c>
      <c r="B41" s="3" t="s">
        <v>245</v>
      </c>
      <c r="C41" s="3" t="s">
        <v>246</v>
      </c>
      <c r="D41" s="3" t="s">
        <v>247</v>
      </c>
      <c r="E41" s="4">
        <v>4</v>
      </c>
      <c r="F41" s="5">
        <v>169</v>
      </c>
      <c r="G41" s="5">
        <v>676</v>
      </c>
      <c r="H41" s="6" t="s">
        <v>248</v>
      </c>
      <c r="I41" s="3" t="s">
        <v>249</v>
      </c>
      <c r="J41" s="6" t="s">
        <v>250</v>
      </c>
      <c r="K41" s="5">
        <v>0</v>
      </c>
    </row>
    <row r="42" spans="1:11" ht="14.25" x14ac:dyDescent="0.4">
      <c r="A42" s="2">
        <v>46261</v>
      </c>
      <c r="B42" s="3" t="s">
        <v>251</v>
      </c>
      <c r="C42" s="3" t="s">
        <v>252</v>
      </c>
      <c r="D42" s="3" t="s">
        <v>253</v>
      </c>
      <c r="E42" s="4">
        <v>4</v>
      </c>
      <c r="F42" s="5">
        <v>199</v>
      </c>
      <c r="G42" s="5">
        <v>796</v>
      </c>
      <c r="H42" s="6" t="s">
        <v>254</v>
      </c>
      <c r="I42" s="3" t="s">
        <v>255</v>
      </c>
      <c r="J42" s="6" t="s">
        <v>256</v>
      </c>
      <c r="K42" s="5">
        <v>0</v>
      </c>
    </row>
    <row r="43" spans="1:11" ht="14.25" x14ac:dyDescent="0.4">
      <c r="A43" s="2">
        <v>46226</v>
      </c>
      <c r="B43" s="3" t="s">
        <v>257</v>
      </c>
      <c r="C43" s="3" t="s">
        <v>258</v>
      </c>
      <c r="D43" s="3" t="s">
        <v>259</v>
      </c>
      <c r="E43" s="4">
        <v>3</v>
      </c>
      <c r="F43" s="5">
        <v>129</v>
      </c>
      <c r="G43" s="5">
        <v>387</v>
      </c>
      <c r="H43" s="6" t="s">
        <v>260</v>
      </c>
      <c r="I43" s="3" t="s">
        <v>261</v>
      </c>
      <c r="J43" s="6" t="s">
        <v>262</v>
      </c>
      <c r="K43" s="5">
        <v>0</v>
      </c>
    </row>
    <row r="44" spans="1:11" ht="14.25" x14ac:dyDescent="0.4">
      <c r="A44" s="2">
        <v>46218</v>
      </c>
      <c r="B44" s="3" t="s">
        <v>263</v>
      </c>
      <c r="C44" s="3" t="s">
        <v>264</v>
      </c>
      <c r="D44" s="3" t="s">
        <v>265</v>
      </c>
      <c r="E44" s="4">
        <v>1</v>
      </c>
      <c r="F44" s="5">
        <v>169</v>
      </c>
      <c r="G44" s="5">
        <v>169</v>
      </c>
      <c r="H44" s="6" t="s">
        <v>266</v>
      </c>
      <c r="I44" s="3" t="s">
        <v>267</v>
      </c>
      <c r="J44" s="6" t="s">
        <v>268</v>
      </c>
      <c r="K44" s="5">
        <v>0</v>
      </c>
    </row>
    <row r="45" spans="1:11" ht="14.25" x14ac:dyDescent="0.4">
      <c r="A45" s="2">
        <v>46293</v>
      </c>
      <c r="B45" s="3" t="s">
        <v>269</v>
      </c>
      <c r="C45" s="3" t="s">
        <v>270</v>
      </c>
      <c r="D45" s="3" t="s">
        <v>271</v>
      </c>
      <c r="E45" s="4">
        <v>3</v>
      </c>
      <c r="F45" s="5">
        <v>199</v>
      </c>
      <c r="G45" s="5">
        <v>597</v>
      </c>
      <c r="H45" s="6" t="s">
        <v>272</v>
      </c>
      <c r="I45" s="3" t="s">
        <v>273</v>
      </c>
      <c r="J45" s="6" t="s">
        <v>274</v>
      </c>
      <c r="K45" s="5">
        <v>0</v>
      </c>
    </row>
    <row r="46" spans="1:11" ht="14.25" x14ac:dyDescent="0.4">
      <c r="A46" s="2">
        <v>46235</v>
      </c>
      <c r="B46" s="3" t="s">
        <v>275</v>
      </c>
      <c r="C46" s="3" t="s">
        <v>276</v>
      </c>
      <c r="D46" s="3" t="s">
        <v>277</v>
      </c>
      <c r="E46" s="4">
        <v>2</v>
      </c>
      <c r="F46" s="5">
        <v>59</v>
      </c>
      <c r="G46" s="5">
        <v>118</v>
      </c>
      <c r="H46" s="6" t="s">
        <v>278</v>
      </c>
      <c r="I46" s="3" t="s">
        <v>279</v>
      </c>
      <c r="J46" s="6" t="s">
        <v>280</v>
      </c>
      <c r="K46" s="5">
        <v>0</v>
      </c>
    </row>
    <row r="47" spans="1:11" ht="14.25" x14ac:dyDescent="0.4">
      <c r="A47" s="2">
        <v>46286</v>
      </c>
      <c r="B47" s="3" t="s">
        <v>281</v>
      </c>
      <c r="C47" s="3" t="s">
        <v>282</v>
      </c>
      <c r="D47" s="3" t="s">
        <v>283</v>
      </c>
      <c r="E47" s="4">
        <v>3</v>
      </c>
      <c r="F47" s="5">
        <v>49</v>
      </c>
      <c r="G47" s="5">
        <v>147</v>
      </c>
      <c r="H47" s="6" t="s">
        <v>284</v>
      </c>
      <c r="I47" s="3" t="s">
        <v>285</v>
      </c>
      <c r="J47" s="6" t="s">
        <v>286</v>
      </c>
      <c r="K47" s="5">
        <v>0</v>
      </c>
    </row>
    <row r="48" spans="1:11" ht="14.25" x14ac:dyDescent="0.4">
      <c r="A48" s="2">
        <v>46262</v>
      </c>
      <c r="B48" s="3" t="s">
        <v>287</v>
      </c>
      <c r="C48" s="3" t="s">
        <v>288</v>
      </c>
      <c r="D48" s="3" t="s">
        <v>289</v>
      </c>
      <c r="E48" s="4">
        <v>3</v>
      </c>
      <c r="F48" s="5">
        <v>89</v>
      </c>
      <c r="G48" s="5">
        <v>267</v>
      </c>
      <c r="H48" s="6" t="s">
        <v>290</v>
      </c>
      <c r="I48" s="3" t="s">
        <v>291</v>
      </c>
      <c r="J48" s="6" t="s">
        <v>292</v>
      </c>
      <c r="K48" s="5">
        <v>0</v>
      </c>
    </row>
    <row r="49" spans="1:11" ht="14.25" x14ac:dyDescent="0.4">
      <c r="A49" s="2">
        <v>46212</v>
      </c>
      <c r="B49" s="3" t="s">
        <v>293</v>
      </c>
      <c r="C49" s="3" t="s">
        <v>294</v>
      </c>
      <c r="D49" s="3" t="s">
        <v>295</v>
      </c>
      <c r="E49" s="4">
        <v>2</v>
      </c>
      <c r="F49" s="5">
        <v>149</v>
      </c>
      <c r="G49" s="5">
        <v>298</v>
      </c>
      <c r="H49" s="6" t="s">
        <v>296</v>
      </c>
      <c r="I49" s="3" t="s">
        <v>297</v>
      </c>
      <c r="J49" s="6" t="s">
        <v>298</v>
      </c>
      <c r="K49" s="5">
        <v>298</v>
      </c>
    </row>
    <row r="50" spans="1:11" ht="14.25" x14ac:dyDescent="0.4">
      <c r="A50" s="2">
        <v>46266</v>
      </c>
      <c r="B50" s="3" t="s">
        <v>299</v>
      </c>
      <c r="C50" s="3" t="s">
        <v>300</v>
      </c>
      <c r="D50" s="3" t="s">
        <v>301</v>
      </c>
      <c r="E50" s="4">
        <v>2</v>
      </c>
      <c r="F50" s="5">
        <v>169</v>
      </c>
      <c r="G50" s="5">
        <v>338</v>
      </c>
      <c r="H50" s="6" t="s">
        <v>302</v>
      </c>
      <c r="I50" s="3" t="s">
        <v>303</v>
      </c>
      <c r="J50" s="6" t="s">
        <v>304</v>
      </c>
      <c r="K50" s="5">
        <v>0</v>
      </c>
    </row>
    <row r="51" spans="1:11" ht="14.25" x14ac:dyDescent="0.4">
      <c r="A51" s="2">
        <v>46274</v>
      </c>
      <c r="B51" s="3" t="s">
        <v>305</v>
      </c>
      <c r="C51" s="3" t="s">
        <v>306</v>
      </c>
      <c r="D51" s="3" t="s">
        <v>307</v>
      </c>
      <c r="E51" s="4">
        <v>2</v>
      </c>
      <c r="F51" s="5">
        <v>49</v>
      </c>
      <c r="G51" s="5">
        <v>98</v>
      </c>
      <c r="H51" s="6" t="s">
        <v>308</v>
      </c>
      <c r="I51" s="3" t="s">
        <v>309</v>
      </c>
      <c r="J51" s="6" t="s">
        <v>310</v>
      </c>
      <c r="K51" s="5">
        <v>0</v>
      </c>
    </row>
    <row r="52" spans="1:11" ht="14.25" x14ac:dyDescent="0.4">
      <c r="A52" s="2">
        <v>46282</v>
      </c>
      <c r="B52" s="3" t="s">
        <v>311</v>
      </c>
      <c r="C52" s="3" t="s">
        <v>312</v>
      </c>
      <c r="D52" s="3" t="s">
        <v>313</v>
      </c>
      <c r="E52" s="4">
        <v>1</v>
      </c>
      <c r="F52" s="5">
        <v>149</v>
      </c>
      <c r="G52" s="5">
        <v>149</v>
      </c>
      <c r="H52" s="6" t="s">
        <v>314</v>
      </c>
      <c r="I52" s="3" t="s">
        <v>315</v>
      </c>
      <c r="J52" s="6" t="s">
        <v>316</v>
      </c>
      <c r="K52" s="5">
        <v>0</v>
      </c>
    </row>
    <row r="53" spans="1:11" ht="14.25" x14ac:dyDescent="0.4">
      <c r="A53" s="2">
        <v>46248</v>
      </c>
      <c r="B53" s="3" t="s">
        <v>317</v>
      </c>
      <c r="C53" s="3" t="s">
        <v>318</v>
      </c>
      <c r="D53" s="3" t="s">
        <v>319</v>
      </c>
      <c r="E53" s="4">
        <v>3</v>
      </c>
      <c r="F53" s="5">
        <v>89</v>
      </c>
      <c r="G53" s="5">
        <v>267</v>
      </c>
      <c r="H53" s="6" t="s">
        <v>320</v>
      </c>
      <c r="I53" s="3" t="s">
        <v>321</v>
      </c>
      <c r="J53" s="6" t="s">
        <v>322</v>
      </c>
      <c r="K53" s="5">
        <v>0</v>
      </c>
    </row>
    <row r="54" spans="1:11" ht="14.25" x14ac:dyDescent="0.4">
      <c r="A54" s="2">
        <v>46246</v>
      </c>
      <c r="B54" s="3" t="s">
        <v>323</v>
      </c>
      <c r="C54" s="3" t="s">
        <v>324</v>
      </c>
      <c r="D54" s="3" t="s">
        <v>325</v>
      </c>
      <c r="E54" s="4">
        <v>0</v>
      </c>
      <c r="F54" s="5">
        <v>169</v>
      </c>
      <c r="G54" s="5">
        <v>0</v>
      </c>
      <c r="H54" s="6" t="s">
        <v>326</v>
      </c>
      <c r="I54" s="3" t="s">
        <v>327</v>
      </c>
      <c r="J54" s="6" t="s">
        <v>328</v>
      </c>
      <c r="K54" s="5">
        <v>0</v>
      </c>
    </row>
    <row r="55" spans="1:11" ht="14.25" x14ac:dyDescent="0.4">
      <c r="A55" s="2">
        <v>46239</v>
      </c>
      <c r="B55" s="3" t="s">
        <v>329</v>
      </c>
      <c r="C55" s="3" t="s">
        <v>330</v>
      </c>
      <c r="D55" s="3" t="s">
        <v>331</v>
      </c>
      <c r="E55" s="4">
        <v>4</v>
      </c>
      <c r="F55" s="5">
        <v>59</v>
      </c>
      <c r="G55" s="5">
        <v>236</v>
      </c>
      <c r="H55" s="6" t="s">
        <v>332</v>
      </c>
      <c r="I55" s="3" t="s">
        <v>333</v>
      </c>
      <c r="J55" s="6" t="s">
        <v>334</v>
      </c>
      <c r="K55" s="5">
        <v>0</v>
      </c>
    </row>
    <row r="56" spans="1:11" ht="14.25" x14ac:dyDescent="0.4">
      <c r="A56" s="2">
        <v>46235</v>
      </c>
      <c r="B56" s="3" t="s">
        <v>335</v>
      </c>
      <c r="C56" s="3" t="s">
        <v>336</v>
      </c>
      <c r="D56" s="3" t="s">
        <v>337</v>
      </c>
      <c r="E56" s="4">
        <v>4</v>
      </c>
      <c r="F56" s="5">
        <v>39</v>
      </c>
      <c r="G56" s="5">
        <v>156</v>
      </c>
      <c r="H56" s="6" t="s">
        <v>338</v>
      </c>
      <c r="I56" s="3" t="s">
        <v>339</v>
      </c>
      <c r="J56" s="6" t="s">
        <v>340</v>
      </c>
      <c r="K56" s="5">
        <v>0</v>
      </c>
    </row>
    <row r="57" spans="1:11" ht="14.25" x14ac:dyDescent="0.4">
      <c r="A57" s="2">
        <v>46279</v>
      </c>
      <c r="B57" s="3" t="s">
        <v>341</v>
      </c>
      <c r="C57" s="3" t="s">
        <v>342</v>
      </c>
      <c r="D57" s="3" t="s">
        <v>343</v>
      </c>
      <c r="E57" s="4">
        <v>1</v>
      </c>
      <c r="F57" s="5">
        <v>149</v>
      </c>
      <c r="G57" s="5">
        <v>149</v>
      </c>
      <c r="H57" s="6" t="s">
        <v>344</v>
      </c>
      <c r="I57" s="3" t="s">
        <v>345</v>
      </c>
      <c r="J57" s="6" t="s">
        <v>346</v>
      </c>
      <c r="K57" s="5">
        <v>0</v>
      </c>
    </row>
    <row r="58" spans="1:11" ht="14.25" x14ac:dyDescent="0.4">
      <c r="A58" s="2">
        <v>46283</v>
      </c>
      <c r="B58" s="3" t="s">
        <v>347</v>
      </c>
      <c r="C58" s="3" t="s">
        <v>348</v>
      </c>
      <c r="D58" s="3" t="s">
        <v>349</v>
      </c>
      <c r="E58" s="4">
        <v>2</v>
      </c>
      <c r="F58" s="5">
        <v>129</v>
      </c>
      <c r="G58" s="5">
        <v>258</v>
      </c>
      <c r="H58" s="6" t="s">
        <v>350</v>
      </c>
      <c r="I58" s="3" t="s">
        <v>351</v>
      </c>
      <c r="J58" s="6" t="s">
        <v>352</v>
      </c>
      <c r="K58" s="5">
        <v>0</v>
      </c>
    </row>
    <row r="59" spans="1:11" ht="14.25" x14ac:dyDescent="0.4">
      <c r="A59" s="2">
        <v>46271</v>
      </c>
      <c r="B59" s="3" t="s">
        <v>353</v>
      </c>
      <c r="C59" s="3" t="s">
        <v>354</v>
      </c>
      <c r="D59" s="3" t="s">
        <v>355</v>
      </c>
      <c r="E59" s="4">
        <v>3</v>
      </c>
      <c r="F59" s="5">
        <v>49</v>
      </c>
      <c r="G59" s="5">
        <v>147</v>
      </c>
      <c r="H59" s="6" t="s">
        <v>356</v>
      </c>
      <c r="I59" s="3" t="s">
        <v>357</v>
      </c>
      <c r="J59" s="6" t="s">
        <v>358</v>
      </c>
      <c r="K59" s="5">
        <v>0</v>
      </c>
    </row>
    <row r="60" spans="1:11" ht="14.25" x14ac:dyDescent="0.4">
      <c r="A60" s="2">
        <v>46248</v>
      </c>
      <c r="B60" s="3" t="s">
        <v>359</v>
      </c>
      <c r="C60" s="3" t="s">
        <v>360</v>
      </c>
      <c r="D60" s="3" t="s">
        <v>361</v>
      </c>
      <c r="E60" s="4">
        <v>1</v>
      </c>
      <c r="F60" s="5">
        <v>59</v>
      </c>
      <c r="G60" s="5">
        <v>59</v>
      </c>
      <c r="H60" s="6" t="s">
        <v>362</v>
      </c>
      <c r="I60" s="3" t="s">
        <v>363</v>
      </c>
      <c r="J60" s="6" t="s">
        <v>364</v>
      </c>
      <c r="K60" s="5">
        <v>0</v>
      </c>
    </row>
    <row r="61" spans="1:11" ht="14.25" x14ac:dyDescent="0.4">
      <c r="A61" s="2">
        <v>46254</v>
      </c>
      <c r="B61" s="3" t="s">
        <v>365</v>
      </c>
      <c r="C61" s="3" t="s">
        <v>366</v>
      </c>
      <c r="D61" s="3" t="s">
        <v>367</v>
      </c>
      <c r="E61" s="4">
        <v>1</v>
      </c>
      <c r="F61" s="5">
        <v>199</v>
      </c>
      <c r="G61" s="5">
        <v>199</v>
      </c>
      <c r="H61" s="6" t="s">
        <v>368</v>
      </c>
      <c r="I61" s="3" t="s">
        <v>369</v>
      </c>
      <c r="J61" s="6" t="s">
        <v>370</v>
      </c>
      <c r="K61" s="5">
        <v>0</v>
      </c>
    </row>
    <row r="62" spans="1:11" ht="14.25" x14ac:dyDescent="0.4">
      <c r="A62" s="2">
        <v>46208</v>
      </c>
      <c r="B62" s="3" t="s">
        <v>371</v>
      </c>
      <c r="C62" s="3" t="s">
        <v>372</v>
      </c>
      <c r="D62" s="3" t="s">
        <v>373</v>
      </c>
      <c r="E62" s="4">
        <v>2</v>
      </c>
      <c r="F62" s="5">
        <v>89</v>
      </c>
      <c r="G62" s="5">
        <v>150</v>
      </c>
      <c r="H62" s="6" t="s">
        <v>374</v>
      </c>
      <c r="I62" s="3" t="s">
        <v>375</v>
      </c>
      <c r="J62" s="6" t="s">
        <v>376</v>
      </c>
      <c r="K62" s="5">
        <v>0</v>
      </c>
    </row>
    <row r="63" spans="1:11" ht="14.25" x14ac:dyDescent="0.4">
      <c r="A63" s="2">
        <v>46280</v>
      </c>
      <c r="B63" s="3" t="s">
        <v>377</v>
      </c>
      <c r="C63" s="3" t="s">
        <v>378</v>
      </c>
      <c r="D63" s="3" t="s">
        <v>379</v>
      </c>
      <c r="E63" s="4">
        <v>-1</v>
      </c>
      <c r="F63" s="5">
        <v>39</v>
      </c>
      <c r="G63" s="5">
        <v>-39</v>
      </c>
      <c r="H63" s="6" t="s">
        <v>380</v>
      </c>
      <c r="I63" s="3" t="s">
        <v>381</v>
      </c>
      <c r="J63" s="6" t="s">
        <v>382</v>
      </c>
      <c r="K63" s="5">
        <v>0</v>
      </c>
    </row>
  </sheetData>
  <autoFilter ref="A1:K63" xr:uid="{3AB0C81A-609F-47D7-9477-74A4E0864060}"/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88E75-34ED-426F-BBEE-0C2022D59C5E}">
  <sheetPr>
    <outlinePr summaryBelow="0" summaryRight="0"/>
  </sheetPr>
  <dimension ref="A1:M59"/>
  <sheetViews>
    <sheetView topLeftCell="B1" workbookViewId="0">
      <pane ySplit="1" topLeftCell="A39" activePane="bottomLeft" state="frozen"/>
      <selection pane="bottomLeft" activeCell="M1" sqref="M1"/>
    </sheetView>
  </sheetViews>
  <sheetFormatPr defaultColWidth="8" defaultRowHeight="13.9" x14ac:dyDescent="0.4"/>
  <cols>
    <col min="1" max="1" width="12" customWidth="1"/>
    <col min="2" max="2" width="20" customWidth="1"/>
    <col min="3" max="3" width="12" customWidth="1"/>
    <col min="4" max="4" width="16" customWidth="1"/>
    <col min="5" max="5" width="9" customWidth="1"/>
    <col min="6" max="6" width="8" customWidth="1"/>
    <col min="7" max="7" width="10" customWidth="1"/>
    <col min="8" max="8" width="9" customWidth="1"/>
    <col min="9" max="9" width="10" customWidth="1"/>
    <col min="10" max="10" width="9" customWidth="1"/>
    <col min="11" max="11" width="10" customWidth="1"/>
    <col min="12" max="12" width="9" customWidth="1"/>
    <col min="13" max="13" width="40" customWidth="1"/>
  </cols>
  <sheetData>
    <row r="1" spans="1:13" x14ac:dyDescent="0.4">
      <c r="A1" s="7" t="s">
        <v>951</v>
      </c>
      <c r="B1" s="7" t="s">
        <v>383</v>
      </c>
      <c r="C1" s="7" t="s">
        <v>384</v>
      </c>
      <c r="D1" s="7" t="s">
        <v>385</v>
      </c>
      <c r="E1" s="7" t="s">
        <v>386</v>
      </c>
      <c r="F1" s="7" t="s">
        <v>387</v>
      </c>
      <c r="G1" s="7" t="s">
        <v>388</v>
      </c>
      <c r="H1" s="7" t="s">
        <v>389</v>
      </c>
      <c r="I1" s="7" t="s">
        <v>390</v>
      </c>
      <c r="J1" s="7" t="s">
        <v>391</v>
      </c>
      <c r="K1" s="7" t="s">
        <v>392</v>
      </c>
      <c r="L1" s="7" t="s">
        <v>393</v>
      </c>
      <c r="M1" s="7" t="s">
        <v>394</v>
      </c>
    </row>
    <row r="2" spans="1:13" ht="14.25" x14ac:dyDescent="0.4">
      <c r="A2" s="8">
        <v>46206</v>
      </c>
      <c r="B2" s="9" t="s">
        <v>395</v>
      </c>
      <c r="C2" s="9" t="s">
        <v>396</v>
      </c>
      <c r="D2" s="9" t="s">
        <v>397</v>
      </c>
      <c r="E2" s="10">
        <v>1</v>
      </c>
      <c r="F2" s="11">
        <v>89</v>
      </c>
      <c r="G2" s="11">
        <v>89</v>
      </c>
      <c r="H2" s="12" t="s">
        <v>398</v>
      </c>
      <c r="I2" s="9" t="s">
        <v>399</v>
      </c>
      <c r="J2" s="12" t="s">
        <v>400</v>
      </c>
      <c r="K2" s="11">
        <v>0</v>
      </c>
      <c r="L2" s="12" t="s">
        <v>401</v>
      </c>
      <c r="M2" s="9"/>
    </row>
    <row r="3" spans="1:13" ht="14.25" x14ac:dyDescent="0.4">
      <c r="A3" s="8">
        <v>46251</v>
      </c>
      <c r="B3" s="9" t="s">
        <v>402</v>
      </c>
      <c r="C3" s="9" t="s">
        <v>403</v>
      </c>
      <c r="D3" s="9" t="s">
        <v>404</v>
      </c>
      <c r="E3" s="10">
        <v>4</v>
      </c>
      <c r="F3" s="11">
        <v>89</v>
      </c>
      <c r="G3" s="11">
        <v>356</v>
      </c>
      <c r="H3" s="12" t="s">
        <v>405</v>
      </c>
      <c r="I3" s="9" t="s">
        <v>406</v>
      </c>
      <c r="J3" s="12" t="s">
        <v>407</v>
      </c>
      <c r="K3" s="11">
        <v>0</v>
      </c>
      <c r="L3" s="12" t="s">
        <v>408</v>
      </c>
      <c r="M3" s="9"/>
    </row>
    <row r="4" spans="1:13" ht="14.25" x14ac:dyDescent="0.4">
      <c r="A4" s="8">
        <v>46249</v>
      </c>
      <c r="B4" s="9" t="s">
        <v>409</v>
      </c>
      <c r="C4" s="9" t="s">
        <v>410</v>
      </c>
      <c r="D4" s="9" t="s">
        <v>411</v>
      </c>
      <c r="E4" s="10">
        <v>3</v>
      </c>
      <c r="F4" s="11">
        <v>39</v>
      </c>
      <c r="G4" s="11">
        <v>117</v>
      </c>
      <c r="H4" s="12" t="s">
        <v>412</v>
      </c>
      <c r="I4" s="9" t="s">
        <v>413</v>
      </c>
      <c r="J4" s="12" t="s">
        <v>414</v>
      </c>
      <c r="K4" s="11">
        <v>0</v>
      </c>
      <c r="L4" s="12" t="s">
        <v>415</v>
      </c>
      <c r="M4" s="9"/>
    </row>
    <row r="5" spans="1:13" ht="14.25" x14ac:dyDescent="0.4">
      <c r="A5" s="8">
        <v>46216</v>
      </c>
      <c r="B5" s="9" t="s">
        <v>416</v>
      </c>
      <c r="C5" s="9" t="s">
        <v>417</v>
      </c>
      <c r="D5" s="9" t="s">
        <v>418</v>
      </c>
      <c r="E5" s="10">
        <v>1</v>
      </c>
      <c r="F5" s="11">
        <v>129</v>
      </c>
      <c r="G5" s="11">
        <v>129</v>
      </c>
      <c r="H5" s="12" t="s">
        <v>419</v>
      </c>
      <c r="I5" s="9" t="s">
        <v>420</v>
      </c>
      <c r="J5" s="12" t="s">
        <v>421</v>
      </c>
      <c r="K5" s="11">
        <v>0</v>
      </c>
      <c r="L5" s="12" t="s">
        <v>422</v>
      </c>
      <c r="M5" s="9"/>
    </row>
    <row r="6" spans="1:13" ht="14.25" x14ac:dyDescent="0.4">
      <c r="A6" s="8">
        <v>46237</v>
      </c>
      <c r="B6" s="9" t="s">
        <v>423</v>
      </c>
      <c r="C6" s="9" t="s">
        <v>424</v>
      </c>
      <c r="D6" s="9" t="s">
        <v>425</v>
      </c>
      <c r="E6" s="10">
        <v>2</v>
      </c>
      <c r="F6" s="11">
        <v>169</v>
      </c>
      <c r="G6" s="11">
        <v>338</v>
      </c>
      <c r="H6" s="12" t="s">
        <v>426</v>
      </c>
      <c r="I6" s="9" t="s">
        <v>427</v>
      </c>
      <c r="J6" s="12" t="s">
        <v>428</v>
      </c>
      <c r="K6" s="11">
        <v>0</v>
      </c>
      <c r="L6" s="12" t="s">
        <v>429</v>
      </c>
      <c r="M6" s="9"/>
    </row>
    <row r="7" spans="1:13" ht="14.25" x14ac:dyDescent="0.4">
      <c r="A7" s="8">
        <v>46239</v>
      </c>
      <c r="B7" s="9" t="s">
        <v>430</v>
      </c>
      <c r="C7" s="9" t="s">
        <v>431</v>
      </c>
      <c r="D7" s="9" t="s">
        <v>432</v>
      </c>
      <c r="E7" s="10">
        <v>4</v>
      </c>
      <c r="F7" s="11">
        <v>49</v>
      </c>
      <c r="G7" s="11">
        <v>196</v>
      </c>
      <c r="H7" s="12" t="s">
        <v>433</v>
      </c>
      <c r="I7" s="9" t="s">
        <v>434</v>
      </c>
      <c r="J7" s="12" t="s">
        <v>435</v>
      </c>
      <c r="K7" s="11">
        <v>0</v>
      </c>
      <c r="L7" s="12" t="s">
        <v>436</v>
      </c>
      <c r="M7" s="9"/>
    </row>
    <row r="8" spans="1:13" ht="14.25" x14ac:dyDescent="0.4">
      <c r="A8" s="8">
        <v>46283</v>
      </c>
      <c r="B8" s="9" t="s">
        <v>437</v>
      </c>
      <c r="C8" s="9" t="s">
        <v>438</v>
      </c>
      <c r="D8" s="9" t="s">
        <v>439</v>
      </c>
      <c r="E8" s="10">
        <v>2</v>
      </c>
      <c r="F8" s="11">
        <v>39</v>
      </c>
      <c r="G8" s="11">
        <v>78</v>
      </c>
      <c r="H8" s="12" t="s">
        <v>440</v>
      </c>
      <c r="I8" s="9" t="s">
        <v>441</v>
      </c>
      <c r="J8" s="12" t="s">
        <v>442</v>
      </c>
      <c r="K8" s="11">
        <v>0</v>
      </c>
      <c r="L8" s="12" t="s">
        <v>443</v>
      </c>
      <c r="M8" s="9"/>
    </row>
    <row r="9" spans="1:13" ht="14.25" x14ac:dyDescent="0.4">
      <c r="A9" s="8">
        <v>46285</v>
      </c>
      <c r="B9" s="9" t="s">
        <v>444</v>
      </c>
      <c r="C9" s="9" t="s">
        <v>445</v>
      </c>
      <c r="D9" s="9" t="s">
        <v>446</v>
      </c>
      <c r="E9" s="10">
        <v>3</v>
      </c>
      <c r="F9" s="11">
        <v>169</v>
      </c>
      <c r="G9" s="11">
        <v>507</v>
      </c>
      <c r="H9" s="12" t="s">
        <v>447</v>
      </c>
      <c r="I9" s="9" t="s">
        <v>448</v>
      </c>
      <c r="J9" s="12" t="s">
        <v>449</v>
      </c>
      <c r="K9" s="11">
        <v>253.5</v>
      </c>
      <c r="L9" s="12" t="s">
        <v>450</v>
      </c>
      <c r="M9" s="9"/>
    </row>
    <row r="10" spans="1:13" ht="14.25" x14ac:dyDescent="0.4">
      <c r="A10" s="8">
        <v>46217</v>
      </c>
      <c r="B10" s="9" t="s">
        <v>451</v>
      </c>
      <c r="C10" s="9" t="s">
        <v>452</v>
      </c>
      <c r="D10" s="9" t="s">
        <v>453</v>
      </c>
      <c r="E10" s="10">
        <v>4</v>
      </c>
      <c r="F10" s="11">
        <v>149</v>
      </c>
      <c r="G10" s="11">
        <v>596</v>
      </c>
      <c r="H10" s="12" t="s">
        <v>454</v>
      </c>
      <c r="I10" s="9" t="s">
        <v>455</v>
      </c>
      <c r="J10" s="12" t="s">
        <v>456</v>
      </c>
      <c r="K10" s="11">
        <v>0</v>
      </c>
      <c r="L10" s="12" t="s">
        <v>457</v>
      </c>
      <c r="M10" s="9"/>
    </row>
    <row r="11" spans="1:13" ht="14.25" x14ac:dyDescent="0.4">
      <c r="A11" s="8">
        <v>46249</v>
      </c>
      <c r="B11" s="9" t="s">
        <v>458</v>
      </c>
      <c r="C11" s="9" t="s">
        <v>459</v>
      </c>
      <c r="D11" s="9" t="s">
        <v>460</v>
      </c>
      <c r="E11" s="10">
        <v>1</v>
      </c>
      <c r="F11" s="11">
        <v>199</v>
      </c>
      <c r="G11" s="11">
        <v>199</v>
      </c>
      <c r="H11" s="12" t="s">
        <v>461</v>
      </c>
      <c r="I11" s="9" t="s">
        <v>462</v>
      </c>
      <c r="J11" s="12" t="s">
        <v>463</v>
      </c>
      <c r="K11" s="11">
        <v>0</v>
      </c>
      <c r="L11" s="12" t="s">
        <v>464</v>
      </c>
      <c r="M11" s="9"/>
    </row>
    <row r="12" spans="1:13" ht="14.25" x14ac:dyDescent="0.4">
      <c r="A12" s="8">
        <v>46225</v>
      </c>
      <c r="B12" s="9" t="s">
        <v>465</v>
      </c>
      <c r="C12" s="9" t="s">
        <v>466</v>
      </c>
      <c r="D12" s="9" t="s">
        <v>467</v>
      </c>
      <c r="E12" s="10">
        <v>4</v>
      </c>
      <c r="F12" s="11">
        <v>199</v>
      </c>
      <c r="G12" s="11">
        <v>796</v>
      </c>
      <c r="H12" s="12" t="s">
        <v>468</v>
      </c>
      <c r="I12" s="9" t="s">
        <v>469</v>
      </c>
      <c r="J12" s="12" t="s">
        <v>470</v>
      </c>
      <c r="K12" s="11">
        <v>0</v>
      </c>
      <c r="L12" s="12" t="s">
        <v>471</v>
      </c>
      <c r="M12" s="9"/>
    </row>
    <row r="13" spans="1:13" ht="14.25" x14ac:dyDescent="0.4">
      <c r="A13" s="8">
        <v>46254</v>
      </c>
      <c r="B13" s="9" t="s">
        <v>472</v>
      </c>
      <c r="C13" s="9" t="s">
        <v>473</v>
      </c>
      <c r="D13" s="9" t="s">
        <v>474</v>
      </c>
      <c r="E13" s="10">
        <v>1</v>
      </c>
      <c r="F13" s="11">
        <v>129</v>
      </c>
      <c r="G13" s="11">
        <v>129</v>
      </c>
      <c r="H13" s="12" t="s">
        <v>475</v>
      </c>
      <c r="I13" s="9" t="s">
        <v>476</v>
      </c>
      <c r="J13" s="12" t="s">
        <v>477</v>
      </c>
      <c r="K13" s="11">
        <v>0</v>
      </c>
      <c r="L13" s="12" t="s">
        <v>478</v>
      </c>
      <c r="M13" s="9"/>
    </row>
    <row r="14" spans="1:13" ht="14.25" x14ac:dyDescent="0.4">
      <c r="A14" s="8">
        <v>46286</v>
      </c>
      <c r="B14" s="9" t="s">
        <v>479</v>
      </c>
      <c r="C14" s="9" t="s">
        <v>480</v>
      </c>
      <c r="D14" s="9" t="s">
        <v>481</v>
      </c>
      <c r="E14" s="10">
        <v>4</v>
      </c>
      <c r="F14" s="11">
        <v>39</v>
      </c>
      <c r="G14" s="11">
        <v>156</v>
      </c>
      <c r="H14" s="12" t="s">
        <v>482</v>
      </c>
      <c r="I14" s="9" t="s">
        <v>483</v>
      </c>
      <c r="J14" s="12" t="s">
        <v>484</v>
      </c>
      <c r="K14" s="11">
        <v>78</v>
      </c>
      <c r="L14" s="12" t="s">
        <v>485</v>
      </c>
      <c r="M14" s="9"/>
    </row>
    <row r="15" spans="1:13" ht="14.25" x14ac:dyDescent="0.4">
      <c r="A15" s="8">
        <v>46236</v>
      </c>
      <c r="B15" s="9" t="s">
        <v>486</v>
      </c>
      <c r="C15" s="9" t="s">
        <v>487</v>
      </c>
      <c r="D15" s="9" t="s">
        <v>488</v>
      </c>
      <c r="E15" s="10">
        <v>2</v>
      </c>
      <c r="F15" s="11">
        <v>39</v>
      </c>
      <c r="G15" s="11">
        <v>78</v>
      </c>
      <c r="H15" s="12" t="s">
        <v>489</v>
      </c>
      <c r="I15" s="9" t="s">
        <v>490</v>
      </c>
      <c r="J15" s="12" t="s">
        <v>491</v>
      </c>
      <c r="K15" s="11">
        <v>0</v>
      </c>
      <c r="L15" s="12" t="s">
        <v>492</v>
      </c>
      <c r="M15" s="9"/>
    </row>
    <row r="16" spans="1:13" ht="14.25" x14ac:dyDescent="0.4">
      <c r="A16" s="8">
        <v>46219</v>
      </c>
      <c r="B16" s="9" t="s">
        <v>493</v>
      </c>
      <c r="C16" s="9" t="s">
        <v>494</v>
      </c>
      <c r="D16" s="9" t="s">
        <v>495</v>
      </c>
      <c r="E16" s="10">
        <v>1</v>
      </c>
      <c r="F16" s="11">
        <v>89</v>
      </c>
      <c r="G16" s="11">
        <v>89</v>
      </c>
      <c r="H16" s="12" t="s">
        <v>496</v>
      </c>
      <c r="I16" s="9" t="s">
        <v>497</v>
      </c>
      <c r="J16" s="12" t="s">
        <v>498</v>
      </c>
      <c r="K16" s="11">
        <v>89</v>
      </c>
      <c r="L16" s="12" t="s">
        <v>499</v>
      </c>
      <c r="M16" s="9"/>
    </row>
    <row r="17" spans="1:13" ht="14.25" x14ac:dyDescent="0.4">
      <c r="A17" s="8">
        <v>46214</v>
      </c>
      <c r="B17" s="9" t="s">
        <v>500</v>
      </c>
      <c r="C17" s="9" t="s">
        <v>501</v>
      </c>
      <c r="D17" s="9" t="s">
        <v>502</v>
      </c>
      <c r="E17" s="10">
        <v>2</v>
      </c>
      <c r="F17" s="11">
        <v>149</v>
      </c>
      <c r="G17" s="11">
        <v>298</v>
      </c>
      <c r="H17" s="12" t="s">
        <v>503</v>
      </c>
      <c r="I17" s="9" t="s">
        <v>504</v>
      </c>
      <c r="J17" s="12" t="s">
        <v>505</v>
      </c>
      <c r="K17" s="11">
        <v>0</v>
      </c>
      <c r="L17" s="12" t="s">
        <v>506</v>
      </c>
      <c r="M17" s="9"/>
    </row>
    <row r="18" spans="1:13" ht="14.25" x14ac:dyDescent="0.4">
      <c r="A18" s="8">
        <v>46254</v>
      </c>
      <c r="B18" s="9" t="s">
        <v>507</v>
      </c>
      <c r="C18" s="9" t="s">
        <v>508</v>
      </c>
      <c r="D18" s="9" t="s">
        <v>509</v>
      </c>
      <c r="E18" s="10">
        <v>2</v>
      </c>
      <c r="F18" s="11">
        <v>39</v>
      </c>
      <c r="G18" s="11">
        <v>78</v>
      </c>
      <c r="H18" s="12" t="s">
        <v>510</v>
      </c>
      <c r="I18" s="9" t="s">
        <v>511</v>
      </c>
      <c r="J18" s="12" t="s">
        <v>512</v>
      </c>
      <c r="K18" s="11">
        <v>0</v>
      </c>
      <c r="L18" s="12" t="s">
        <v>513</v>
      </c>
      <c r="M18" s="9"/>
    </row>
    <row r="19" spans="1:13" ht="14.25" x14ac:dyDescent="0.4">
      <c r="A19" s="8">
        <v>46271</v>
      </c>
      <c r="B19" s="9" t="s">
        <v>514</v>
      </c>
      <c r="C19" s="9" t="s">
        <v>515</v>
      </c>
      <c r="D19" s="9" t="s">
        <v>516</v>
      </c>
      <c r="E19" s="10">
        <v>3</v>
      </c>
      <c r="F19" s="11">
        <v>49</v>
      </c>
      <c r="G19" s="11">
        <v>147</v>
      </c>
      <c r="H19" s="12" t="s">
        <v>517</v>
      </c>
      <c r="I19" s="9" t="s">
        <v>518</v>
      </c>
      <c r="J19" s="12" t="s">
        <v>519</v>
      </c>
      <c r="K19" s="11">
        <v>0</v>
      </c>
      <c r="L19" s="12" t="s">
        <v>520</v>
      </c>
      <c r="M19" s="9"/>
    </row>
    <row r="20" spans="1:13" ht="14.25" x14ac:dyDescent="0.4">
      <c r="A20" s="8">
        <v>46263</v>
      </c>
      <c r="B20" s="9" t="s">
        <v>521</v>
      </c>
      <c r="C20" s="9" t="s">
        <v>522</v>
      </c>
      <c r="D20" s="9" t="s">
        <v>523</v>
      </c>
      <c r="E20" s="10">
        <v>2</v>
      </c>
      <c r="F20" s="11">
        <v>129</v>
      </c>
      <c r="G20" s="11">
        <v>258</v>
      </c>
      <c r="H20" s="12" t="s">
        <v>524</v>
      </c>
      <c r="I20" s="9" t="s">
        <v>525</v>
      </c>
      <c r="J20" s="12" t="s">
        <v>526</v>
      </c>
      <c r="K20" s="11">
        <v>0</v>
      </c>
      <c r="L20" s="12" t="s">
        <v>527</v>
      </c>
      <c r="M20" s="9"/>
    </row>
    <row r="21" spans="1:13" ht="14.25" x14ac:dyDescent="0.4">
      <c r="A21" s="8">
        <v>46284</v>
      </c>
      <c r="B21" s="9" t="s">
        <v>528</v>
      </c>
      <c r="C21" s="9" t="s">
        <v>529</v>
      </c>
      <c r="D21" s="9" t="s">
        <v>530</v>
      </c>
      <c r="E21" s="10">
        <v>4</v>
      </c>
      <c r="F21" s="11">
        <v>89</v>
      </c>
      <c r="G21" s="11">
        <v>356</v>
      </c>
      <c r="H21" s="12" t="s">
        <v>531</v>
      </c>
      <c r="I21" s="9" t="s">
        <v>532</v>
      </c>
      <c r="J21" s="12" t="s">
        <v>533</v>
      </c>
      <c r="K21" s="11">
        <v>0</v>
      </c>
      <c r="L21" s="12" t="s">
        <v>534</v>
      </c>
      <c r="M21" s="9"/>
    </row>
    <row r="22" spans="1:13" ht="14.25" x14ac:dyDescent="0.4">
      <c r="A22" s="8">
        <v>46235</v>
      </c>
      <c r="B22" s="9" t="s">
        <v>535</v>
      </c>
      <c r="C22" s="9" t="s">
        <v>536</v>
      </c>
      <c r="D22" s="9" t="s">
        <v>537</v>
      </c>
      <c r="E22" s="10">
        <v>2</v>
      </c>
      <c r="F22" s="11">
        <v>49</v>
      </c>
      <c r="G22" s="11">
        <v>98</v>
      </c>
      <c r="H22" s="12" t="s">
        <v>538</v>
      </c>
      <c r="I22" s="9" t="s">
        <v>539</v>
      </c>
      <c r="J22" s="12" t="s">
        <v>540</v>
      </c>
      <c r="K22" s="11">
        <v>0</v>
      </c>
      <c r="L22" s="12" t="s">
        <v>541</v>
      </c>
      <c r="M22" s="9"/>
    </row>
    <row r="23" spans="1:13" ht="14.25" x14ac:dyDescent="0.4">
      <c r="A23" s="8">
        <v>46221</v>
      </c>
      <c r="B23" s="9" t="s">
        <v>542</v>
      </c>
      <c r="C23" s="9" t="s">
        <v>543</v>
      </c>
      <c r="D23" s="9" t="s">
        <v>544</v>
      </c>
      <c r="E23" s="10">
        <v>1</v>
      </c>
      <c r="F23" s="11">
        <v>199</v>
      </c>
      <c r="G23" s="11">
        <v>199</v>
      </c>
      <c r="H23" s="12" t="s">
        <v>545</v>
      </c>
      <c r="I23" s="9" t="s">
        <v>546</v>
      </c>
      <c r="J23" s="12" t="s">
        <v>547</v>
      </c>
      <c r="K23" s="11">
        <v>199</v>
      </c>
      <c r="L23" s="12" t="s">
        <v>548</v>
      </c>
      <c r="M23" s="9" t="s">
        <v>549</v>
      </c>
    </row>
    <row r="24" spans="1:13" ht="14.25" x14ac:dyDescent="0.4">
      <c r="A24" s="8">
        <v>46222</v>
      </c>
      <c r="B24" s="9" t="s">
        <v>550</v>
      </c>
      <c r="C24" s="9" t="s">
        <v>551</v>
      </c>
      <c r="D24" s="9" t="s">
        <v>552</v>
      </c>
      <c r="E24" s="10">
        <v>1</v>
      </c>
      <c r="F24" s="11">
        <v>169</v>
      </c>
      <c r="G24" s="11">
        <v>169</v>
      </c>
      <c r="H24" s="12" t="s">
        <v>553</v>
      </c>
      <c r="I24" s="9" t="s">
        <v>554</v>
      </c>
      <c r="J24" s="12" t="s">
        <v>555</v>
      </c>
      <c r="K24" s="11">
        <v>0</v>
      </c>
      <c r="L24" s="12" t="s">
        <v>556</v>
      </c>
      <c r="M24" s="9"/>
    </row>
    <row r="25" spans="1:13" ht="14.25" x14ac:dyDescent="0.4">
      <c r="A25" s="8">
        <v>46255</v>
      </c>
      <c r="B25" s="9" t="s">
        <v>557</v>
      </c>
      <c r="C25" s="9" t="s">
        <v>558</v>
      </c>
      <c r="D25" s="9" t="s">
        <v>559</v>
      </c>
      <c r="E25" s="10">
        <v>2</v>
      </c>
      <c r="F25" s="11">
        <v>129</v>
      </c>
      <c r="G25" s="11">
        <v>258</v>
      </c>
      <c r="H25" s="12" t="s">
        <v>560</v>
      </c>
      <c r="I25" s="9" t="s">
        <v>561</v>
      </c>
      <c r="J25" s="12" t="s">
        <v>562</v>
      </c>
      <c r="K25" s="11">
        <v>0</v>
      </c>
      <c r="L25" s="12" t="s">
        <v>563</v>
      </c>
      <c r="M25" s="9" t="s">
        <v>564</v>
      </c>
    </row>
    <row r="26" spans="1:13" ht="14.25" x14ac:dyDescent="0.4">
      <c r="A26" s="8">
        <v>46264</v>
      </c>
      <c r="B26" s="9" t="s">
        <v>565</v>
      </c>
      <c r="C26" s="9" t="s">
        <v>566</v>
      </c>
      <c r="D26" s="9" t="s">
        <v>567</v>
      </c>
      <c r="E26" s="10">
        <v>2</v>
      </c>
      <c r="F26" s="11">
        <v>129</v>
      </c>
      <c r="G26" s="11">
        <v>258</v>
      </c>
      <c r="H26" s="12" t="s">
        <v>568</v>
      </c>
      <c r="I26" s="9" t="s">
        <v>569</v>
      </c>
      <c r="J26" s="12" t="s">
        <v>570</v>
      </c>
      <c r="K26" s="11">
        <v>0</v>
      </c>
      <c r="L26" s="12" t="s">
        <v>571</v>
      </c>
      <c r="M26" s="9"/>
    </row>
    <row r="27" spans="1:13" ht="14.25" x14ac:dyDescent="0.4">
      <c r="A27" s="8">
        <v>46279</v>
      </c>
      <c r="B27" s="9" t="s">
        <v>572</v>
      </c>
      <c r="C27" s="9" t="s">
        <v>573</v>
      </c>
      <c r="D27" s="9" t="s">
        <v>574</v>
      </c>
      <c r="E27" s="10">
        <v>1</v>
      </c>
      <c r="F27" s="11">
        <v>149</v>
      </c>
      <c r="G27" s="11">
        <v>149</v>
      </c>
      <c r="H27" s="12" t="s">
        <v>575</v>
      </c>
      <c r="I27" s="9" t="s">
        <v>576</v>
      </c>
      <c r="J27" s="12" t="s">
        <v>577</v>
      </c>
      <c r="K27" s="11">
        <v>0</v>
      </c>
      <c r="L27" s="12" t="s">
        <v>578</v>
      </c>
      <c r="M27" s="9"/>
    </row>
    <row r="28" spans="1:13" ht="14.25" x14ac:dyDescent="0.4">
      <c r="A28" s="8">
        <v>46264</v>
      </c>
      <c r="B28" s="9" t="s">
        <v>579</v>
      </c>
      <c r="C28" s="9" t="s">
        <v>580</v>
      </c>
      <c r="D28" s="9" t="s">
        <v>581</v>
      </c>
      <c r="E28" s="10">
        <v>3</v>
      </c>
      <c r="F28" s="11">
        <v>149</v>
      </c>
      <c r="G28" s="11">
        <v>447</v>
      </c>
      <c r="H28" s="12" t="s">
        <v>582</v>
      </c>
      <c r="I28" s="9" t="s">
        <v>583</v>
      </c>
      <c r="J28" s="12" t="s">
        <v>584</v>
      </c>
      <c r="K28" s="11">
        <v>0</v>
      </c>
      <c r="L28" s="12" t="s">
        <v>585</v>
      </c>
      <c r="M28" s="9"/>
    </row>
    <row r="29" spans="1:13" ht="14.25" x14ac:dyDescent="0.4">
      <c r="A29" s="8">
        <v>46275</v>
      </c>
      <c r="B29" s="9" t="s">
        <v>586</v>
      </c>
      <c r="C29" s="9" t="s">
        <v>587</v>
      </c>
      <c r="D29" s="9" t="s">
        <v>588</v>
      </c>
      <c r="E29" s="10">
        <v>1</v>
      </c>
      <c r="F29" s="11">
        <v>149</v>
      </c>
      <c r="G29" s="11">
        <v>149</v>
      </c>
      <c r="H29" s="12" t="s">
        <v>589</v>
      </c>
      <c r="I29" s="9" t="s">
        <v>590</v>
      </c>
      <c r="J29" s="12" t="s">
        <v>591</v>
      </c>
      <c r="K29" s="11">
        <v>149</v>
      </c>
      <c r="L29" s="12" t="s">
        <v>592</v>
      </c>
      <c r="M29" s="9" t="s">
        <v>593</v>
      </c>
    </row>
    <row r="30" spans="1:13" ht="14.25" x14ac:dyDescent="0.4">
      <c r="A30" s="8">
        <v>46230</v>
      </c>
      <c r="B30" s="9" t="s">
        <v>594</v>
      </c>
      <c r="C30" s="9" t="s">
        <v>595</v>
      </c>
      <c r="D30" s="9" t="s">
        <v>596</v>
      </c>
      <c r="E30" s="10">
        <v>1</v>
      </c>
      <c r="F30" s="11">
        <v>199</v>
      </c>
      <c r="G30" s="11">
        <v>199</v>
      </c>
      <c r="H30" s="12" t="s">
        <v>597</v>
      </c>
      <c r="I30" s="9" t="s">
        <v>598</v>
      </c>
      <c r="J30" s="12" t="s">
        <v>599</v>
      </c>
      <c r="K30" s="11">
        <v>0</v>
      </c>
      <c r="L30" s="12" t="s">
        <v>600</v>
      </c>
      <c r="M30" s="9"/>
    </row>
    <row r="31" spans="1:13" ht="14.25" x14ac:dyDescent="0.4">
      <c r="A31" s="8">
        <v>46243</v>
      </c>
      <c r="B31" s="9" t="s">
        <v>601</v>
      </c>
      <c r="C31" s="9" t="s">
        <v>602</v>
      </c>
      <c r="D31" s="9" t="s">
        <v>603</v>
      </c>
      <c r="E31" s="10">
        <v>2</v>
      </c>
      <c r="F31" s="11">
        <v>59</v>
      </c>
      <c r="G31" s="11">
        <v>118</v>
      </c>
      <c r="H31" s="12" t="s">
        <v>604</v>
      </c>
      <c r="I31" s="9" t="s">
        <v>605</v>
      </c>
      <c r="J31" s="12" t="s">
        <v>606</v>
      </c>
      <c r="K31" s="11">
        <v>0</v>
      </c>
      <c r="L31" s="12" t="s">
        <v>607</v>
      </c>
      <c r="M31" s="9"/>
    </row>
    <row r="32" spans="1:13" ht="14.25" x14ac:dyDescent="0.4">
      <c r="A32" s="8">
        <v>46220</v>
      </c>
      <c r="B32" s="9" t="s">
        <v>608</v>
      </c>
      <c r="C32" s="9" t="s">
        <v>609</v>
      </c>
      <c r="D32" s="9" t="s">
        <v>610</v>
      </c>
      <c r="E32" s="10">
        <v>1</v>
      </c>
      <c r="F32" s="11">
        <v>199</v>
      </c>
      <c r="G32" s="11">
        <v>199</v>
      </c>
      <c r="H32" s="12" t="s">
        <v>611</v>
      </c>
      <c r="I32" s="9" t="s">
        <v>612</v>
      </c>
      <c r="J32" s="12" t="s">
        <v>613</v>
      </c>
      <c r="K32" s="11">
        <v>0</v>
      </c>
      <c r="L32" s="12" t="s">
        <v>614</v>
      </c>
      <c r="M32" s="9"/>
    </row>
    <row r="33" spans="1:13" ht="14.25" x14ac:dyDescent="0.4">
      <c r="A33" s="8">
        <v>46247</v>
      </c>
      <c r="B33" s="9" t="s">
        <v>615</v>
      </c>
      <c r="C33" s="9" t="s">
        <v>616</v>
      </c>
      <c r="D33" s="9" t="s">
        <v>617</v>
      </c>
      <c r="E33" s="10">
        <v>3</v>
      </c>
      <c r="F33" s="11">
        <v>169</v>
      </c>
      <c r="G33" s="11">
        <v>507</v>
      </c>
      <c r="H33" s="12" t="s">
        <v>618</v>
      </c>
      <c r="I33" s="9" t="s">
        <v>619</v>
      </c>
      <c r="J33" s="12" t="s">
        <v>620</v>
      </c>
      <c r="K33" s="11">
        <v>0</v>
      </c>
      <c r="L33" s="12" t="s">
        <v>621</v>
      </c>
      <c r="M33" s="9"/>
    </row>
    <row r="34" spans="1:13" ht="14.25" x14ac:dyDescent="0.4">
      <c r="A34" s="8">
        <v>46266</v>
      </c>
      <c r="B34" s="9" t="s">
        <v>622</v>
      </c>
      <c r="C34" s="9" t="s">
        <v>623</v>
      </c>
      <c r="D34" s="9" t="s">
        <v>624</v>
      </c>
      <c r="E34" s="10">
        <v>3</v>
      </c>
      <c r="F34" s="11">
        <v>149</v>
      </c>
      <c r="G34" s="11">
        <v>447</v>
      </c>
      <c r="H34" s="12" t="s">
        <v>625</v>
      </c>
      <c r="I34" s="9" t="s">
        <v>626</v>
      </c>
      <c r="J34" s="12" t="s">
        <v>627</v>
      </c>
      <c r="K34" s="11">
        <v>0</v>
      </c>
      <c r="L34" s="12" t="s">
        <v>628</v>
      </c>
      <c r="M34" s="9"/>
    </row>
    <row r="35" spans="1:13" ht="14.25" x14ac:dyDescent="0.4">
      <c r="A35" s="8">
        <v>46279</v>
      </c>
      <c r="B35" s="9" t="s">
        <v>629</v>
      </c>
      <c r="C35" s="9" t="s">
        <v>630</v>
      </c>
      <c r="D35" s="9" t="s">
        <v>631</v>
      </c>
      <c r="E35" s="10">
        <v>2</v>
      </c>
      <c r="F35" s="11">
        <v>199</v>
      </c>
      <c r="G35" s="11">
        <v>398</v>
      </c>
      <c r="H35" s="12" t="s">
        <v>632</v>
      </c>
      <c r="I35" s="9" t="s">
        <v>633</v>
      </c>
      <c r="J35" s="12" t="s">
        <v>634</v>
      </c>
      <c r="K35" s="11">
        <v>0</v>
      </c>
      <c r="L35" s="12" t="s">
        <v>635</v>
      </c>
      <c r="M35" s="9"/>
    </row>
    <row r="36" spans="1:13" ht="14.25" x14ac:dyDescent="0.4">
      <c r="A36" s="8">
        <v>46290</v>
      </c>
      <c r="B36" s="9" t="s">
        <v>636</v>
      </c>
      <c r="C36" s="9" t="s">
        <v>637</v>
      </c>
      <c r="D36" s="9" t="s">
        <v>638</v>
      </c>
      <c r="E36" s="10">
        <v>4</v>
      </c>
      <c r="F36" s="11">
        <v>199</v>
      </c>
      <c r="G36" s="11">
        <v>796</v>
      </c>
      <c r="H36" s="12" t="s">
        <v>639</v>
      </c>
      <c r="I36" s="9" t="s">
        <v>640</v>
      </c>
      <c r="J36" s="12" t="s">
        <v>641</v>
      </c>
      <c r="K36" s="11">
        <v>477.6</v>
      </c>
      <c r="L36" s="12" t="s">
        <v>642</v>
      </c>
      <c r="M36" s="9"/>
    </row>
    <row r="37" spans="1:13" ht="14.25" x14ac:dyDescent="0.4">
      <c r="A37" s="8">
        <v>46267</v>
      </c>
      <c r="B37" s="9" t="s">
        <v>643</v>
      </c>
      <c r="C37" s="9" t="s">
        <v>644</v>
      </c>
      <c r="D37" s="9" t="s">
        <v>645</v>
      </c>
      <c r="E37" s="10">
        <v>2</v>
      </c>
      <c r="F37" s="11">
        <v>199</v>
      </c>
      <c r="G37" s="11">
        <v>398</v>
      </c>
      <c r="H37" s="12" t="s">
        <v>646</v>
      </c>
      <c r="I37" s="9" t="s">
        <v>647</v>
      </c>
      <c r="J37" s="12" t="s">
        <v>648</v>
      </c>
      <c r="K37" s="11">
        <v>0</v>
      </c>
      <c r="L37" s="12" t="s">
        <v>649</v>
      </c>
      <c r="M37" s="9"/>
    </row>
    <row r="38" spans="1:13" ht="14.25" x14ac:dyDescent="0.4">
      <c r="A38" s="8">
        <v>46267</v>
      </c>
      <c r="B38" s="9" t="s">
        <v>650</v>
      </c>
      <c r="C38" s="9" t="s">
        <v>651</v>
      </c>
      <c r="D38" s="9" t="s">
        <v>652</v>
      </c>
      <c r="E38" s="10">
        <v>3</v>
      </c>
      <c r="F38" s="11">
        <v>49</v>
      </c>
      <c r="G38" s="11">
        <v>147</v>
      </c>
      <c r="H38" s="12" t="s">
        <v>653</v>
      </c>
      <c r="I38" s="9" t="s">
        <v>654</v>
      </c>
      <c r="J38" s="12" t="s">
        <v>655</v>
      </c>
      <c r="K38" s="11">
        <v>0</v>
      </c>
      <c r="L38" s="12" t="s">
        <v>656</v>
      </c>
      <c r="M38" s="9" t="s">
        <v>657</v>
      </c>
    </row>
    <row r="39" spans="1:13" ht="14.25" x14ac:dyDescent="0.4">
      <c r="A39" s="8">
        <v>46257</v>
      </c>
      <c r="B39" s="9" t="s">
        <v>658</v>
      </c>
      <c r="C39" s="9" t="s">
        <v>659</v>
      </c>
      <c r="D39" s="9" t="s">
        <v>660</v>
      </c>
      <c r="E39" s="10">
        <v>4</v>
      </c>
      <c r="F39" s="11">
        <v>169</v>
      </c>
      <c r="G39" s="11">
        <v>676</v>
      </c>
      <c r="H39" s="12" t="s">
        <v>661</v>
      </c>
      <c r="I39" s="9" t="s">
        <v>662</v>
      </c>
      <c r="J39" s="12" t="s">
        <v>663</v>
      </c>
      <c r="K39" s="11">
        <v>0</v>
      </c>
      <c r="L39" s="12" t="s">
        <v>664</v>
      </c>
      <c r="M39" s="9"/>
    </row>
    <row r="40" spans="1:13" ht="14.25" x14ac:dyDescent="0.4">
      <c r="A40" s="8">
        <v>46261</v>
      </c>
      <c r="B40" s="9" t="s">
        <v>665</v>
      </c>
      <c r="C40" s="9" t="s">
        <v>666</v>
      </c>
      <c r="D40" s="9" t="s">
        <v>667</v>
      </c>
      <c r="E40" s="10">
        <v>4</v>
      </c>
      <c r="F40" s="11">
        <v>199</v>
      </c>
      <c r="G40" s="11">
        <v>796</v>
      </c>
      <c r="H40" s="12" t="s">
        <v>668</v>
      </c>
      <c r="I40" s="9" t="s">
        <v>669</v>
      </c>
      <c r="J40" s="12" t="s">
        <v>670</v>
      </c>
      <c r="K40" s="11">
        <v>0</v>
      </c>
      <c r="L40" s="12" t="s">
        <v>671</v>
      </c>
      <c r="M40" s="9"/>
    </row>
    <row r="41" spans="1:13" ht="14.25" x14ac:dyDescent="0.4">
      <c r="A41" s="8">
        <v>46226</v>
      </c>
      <c r="B41" s="9" t="s">
        <v>672</v>
      </c>
      <c r="C41" s="9" t="s">
        <v>673</v>
      </c>
      <c r="D41" s="9" t="s">
        <v>674</v>
      </c>
      <c r="E41" s="10">
        <v>3</v>
      </c>
      <c r="F41" s="11">
        <v>129</v>
      </c>
      <c r="G41" s="11">
        <v>387</v>
      </c>
      <c r="H41" s="12" t="s">
        <v>675</v>
      </c>
      <c r="I41" s="9" t="s">
        <v>676</v>
      </c>
      <c r="J41" s="12" t="s">
        <v>677</v>
      </c>
      <c r="K41" s="11">
        <v>0</v>
      </c>
      <c r="L41" s="12" t="s">
        <v>678</v>
      </c>
      <c r="M41" s="9"/>
    </row>
    <row r="42" spans="1:13" ht="14.25" x14ac:dyDescent="0.4">
      <c r="A42" s="8">
        <v>46218</v>
      </c>
      <c r="B42" s="9" t="s">
        <v>679</v>
      </c>
      <c r="C42" s="9" t="s">
        <v>680</v>
      </c>
      <c r="D42" s="9" t="s">
        <v>681</v>
      </c>
      <c r="E42" s="10">
        <v>1</v>
      </c>
      <c r="F42" s="11">
        <v>169</v>
      </c>
      <c r="G42" s="11">
        <v>169</v>
      </c>
      <c r="H42" s="12" t="s">
        <v>682</v>
      </c>
      <c r="I42" s="9" t="s">
        <v>683</v>
      </c>
      <c r="J42" s="12" t="s">
        <v>684</v>
      </c>
      <c r="K42" s="11">
        <v>0</v>
      </c>
      <c r="L42" s="12" t="s">
        <v>685</v>
      </c>
      <c r="M42" s="9"/>
    </row>
    <row r="43" spans="1:13" ht="14.25" x14ac:dyDescent="0.4">
      <c r="A43" s="8">
        <v>46293</v>
      </c>
      <c r="B43" s="9" t="s">
        <v>686</v>
      </c>
      <c r="C43" s="9" t="s">
        <v>687</v>
      </c>
      <c r="D43" s="9" t="s">
        <v>688</v>
      </c>
      <c r="E43" s="10">
        <v>3</v>
      </c>
      <c r="F43" s="11">
        <v>199</v>
      </c>
      <c r="G43" s="11">
        <v>597</v>
      </c>
      <c r="H43" s="12" t="s">
        <v>689</v>
      </c>
      <c r="I43" s="9" t="s">
        <v>690</v>
      </c>
      <c r="J43" s="12" t="s">
        <v>691</v>
      </c>
      <c r="K43" s="11">
        <v>0</v>
      </c>
      <c r="L43" s="12" t="s">
        <v>692</v>
      </c>
      <c r="M43" s="9"/>
    </row>
    <row r="44" spans="1:13" ht="14.25" x14ac:dyDescent="0.4">
      <c r="A44" s="8">
        <v>46235</v>
      </c>
      <c r="B44" s="9" t="s">
        <v>693</v>
      </c>
      <c r="C44" s="9" t="s">
        <v>694</v>
      </c>
      <c r="D44" s="9" t="s">
        <v>695</v>
      </c>
      <c r="E44" s="10">
        <v>2</v>
      </c>
      <c r="F44" s="11">
        <v>59</v>
      </c>
      <c r="G44" s="11">
        <v>118</v>
      </c>
      <c r="H44" s="12" t="s">
        <v>696</v>
      </c>
      <c r="I44" s="9" t="s">
        <v>697</v>
      </c>
      <c r="J44" s="12" t="s">
        <v>698</v>
      </c>
      <c r="K44" s="11">
        <v>0</v>
      </c>
      <c r="L44" s="12" t="s">
        <v>699</v>
      </c>
      <c r="M44" s="9"/>
    </row>
    <row r="45" spans="1:13" ht="14.25" x14ac:dyDescent="0.4">
      <c r="A45" s="8">
        <v>46286</v>
      </c>
      <c r="B45" s="9" t="s">
        <v>700</v>
      </c>
      <c r="C45" s="9" t="s">
        <v>701</v>
      </c>
      <c r="D45" s="9" t="s">
        <v>702</v>
      </c>
      <c r="E45" s="10">
        <v>3</v>
      </c>
      <c r="F45" s="11">
        <v>49</v>
      </c>
      <c r="G45" s="11">
        <v>147</v>
      </c>
      <c r="H45" s="12" t="s">
        <v>703</v>
      </c>
      <c r="I45" s="9" t="s">
        <v>704</v>
      </c>
      <c r="J45" s="12" t="s">
        <v>705</v>
      </c>
      <c r="K45" s="11">
        <v>0</v>
      </c>
      <c r="L45" s="12" t="s">
        <v>706</v>
      </c>
      <c r="M45" s="9"/>
    </row>
    <row r="46" spans="1:13" ht="14.25" x14ac:dyDescent="0.4">
      <c r="A46" s="8">
        <v>46262</v>
      </c>
      <c r="B46" s="9" t="s">
        <v>707</v>
      </c>
      <c r="C46" s="9" t="s">
        <v>708</v>
      </c>
      <c r="D46" s="9" t="s">
        <v>709</v>
      </c>
      <c r="E46" s="10">
        <v>3</v>
      </c>
      <c r="F46" s="11">
        <v>89</v>
      </c>
      <c r="G46" s="11">
        <v>267</v>
      </c>
      <c r="H46" s="12" t="s">
        <v>710</v>
      </c>
      <c r="I46" s="9" t="s">
        <v>711</v>
      </c>
      <c r="J46" s="12" t="s">
        <v>712</v>
      </c>
      <c r="K46" s="11">
        <v>0</v>
      </c>
      <c r="L46" s="12" t="s">
        <v>713</v>
      </c>
      <c r="M46" s="9"/>
    </row>
    <row r="47" spans="1:13" ht="14.25" x14ac:dyDescent="0.4">
      <c r="A47" s="8">
        <v>46212</v>
      </c>
      <c r="B47" s="9" t="s">
        <v>714</v>
      </c>
      <c r="C47" s="9" t="s">
        <v>715</v>
      </c>
      <c r="D47" s="9" t="s">
        <v>716</v>
      </c>
      <c r="E47" s="10">
        <v>2</v>
      </c>
      <c r="F47" s="11">
        <v>149</v>
      </c>
      <c r="G47" s="11">
        <v>298</v>
      </c>
      <c r="H47" s="12" t="s">
        <v>717</v>
      </c>
      <c r="I47" s="9" t="s">
        <v>718</v>
      </c>
      <c r="J47" s="12" t="s">
        <v>719</v>
      </c>
      <c r="K47" s="11">
        <v>298</v>
      </c>
      <c r="L47" s="12" t="s">
        <v>720</v>
      </c>
      <c r="M47" s="9"/>
    </row>
    <row r="48" spans="1:13" ht="14.25" x14ac:dyDescent="0.4">
      <c r="A48" s="8">
        <v>46266</v>
      </c>
      <c r="B48" s="9" t="s">
        <v>721</v>
      </c>
      <c r="C48" s="9" t="s">
        <v>722</v>
      </c>
      <c r="D48" s="9" t="s">
        <v>723</v>
      </c>
      <c r="E48" s="10">
        <v>2</v>
      </c>
      <c r="F48" s="11">
        <v>169</v>
      </c>
      <c r="G48" s="11">
        <v>338</v>
      </c>
      <c r="H48" s="12" t="s">
        <v>724</v>
      </c>
      <c r="I48" s="9" t="s">
        <v>725</v>
      </c>
      <c r="J48" s="12" t="s">
        <v>726</v>
      </c>
      <c r="K48" s="11">
        <v>0</v>
      </c>
      <c r="L48" s="12" t="s">
        <v>727</v>
      </c>
      <c r="M48" s="9"/>
    </row>
    <row r="49" spans="1:13" ht="14.25" x14ac:dyDescent="0.4">
      <c r="A49" s="8">
        <v>46274</v>
      </c>
      <c r="B49" s="9" t="s">
        <v>728</v>
      </c>
      <c r="C49" s="9" t="s">
        <v>729</v>
      </c>
      <c r="D49" s="9" t="s">
        <v>730</v>
      </c>
      <c r="E49" s="10">
        <v>2</v>
      </c>
      <c r="F49" s="11">
        <v>49</v>
      </c>
      <c r="G49" s="11">
        <v>98</v>
      </c>
      <c r="H49" s="12" t="s">
        <v>731</v>
      </c>
      <c r="I49" s="9" t="s">
        <v>732</v>
      </c>
      <c r="J49" s="12" t="s">
        <v>733</v>
      </c>
      <c r="K49" s="11">
        <v>0</v>
      </c>
      <c r="L49" s="12" t="s">
        <v>734</v>
      </c>
      <c r="M49" s="9"/>
    </row>
    <row r="50" spans="1:13" ht="14.25" x14ac:dyDescent="0.4">
      <c r="A50" s="8">
        <v>46282</v>
      </c>
      <c r="B50" s="9" t="s">
        <v>735</v>
      </c>
      <c r="C50" s="9" t="s">
        <v>736</v>
      </c>
      <c r="D50" s="9" t="s">
        <v>737</v>
      </c>
      <c r="E50" s="10">
        <v>1</v>
      </c>
      <c r="F50" s="11">
        <v>149</v>
      </c>
      <c r="G50" s="11">
        <v>149</v>
      </c>
      <c r="H50" s="12" t="s">
        <v>738</v>
      </c>
      <c r="I50" s="9" t="s">
        <v>739</v>
      </c>
      <c r="J50" s="12" t="s">
        <v>740</v>
      </c>
      <c r="K50" s="11">
        <v>0</v>
      </c>
      <c r="L50" s="12" t="s">
        <v>741</v>
      </c>
      <c r="M50" s="9"/>
    </row>
    <row r="51" spans="1:13" ht="14.25" x14ac:dyDescent="0.4">
      <c r="A51" s="8">
        <v>46248</v>
      </c>
      <c r="B51" s="9" t="s">
        <v>742</v>
      </c>
      <c r="C51" s="9" t="s">
        <v>743</v>
      </c>
      <c r="D51" s="9" t="s">
        <v>744</v>
      </c>
      <c r="E51" s="10">
        <v>3</v>
      </c>
      <c r="F51" s="11">
        <v>89</v>
      </c>
      <c r="G51" s="11">
        <v>267</v>
      </c>
      <c r="H51" s="12" t="s">
        <v>745</v>
      </c>
      <c r="I51" s="9" t="s">
        <v>746</v>
      </c>
      <c r="J51" s="12" t="s">
        <v>747</v>
      </c>
      <c r="K51" s="11">
        <v>0</v>
      </c>
      <c r="L51" s="12" t="s">
        <v>748</v>
      </c>
      <c r="M51" s="9"/>
    </row>
    <row r="52" spans="1:13" ht="14.25" x14ac:dyDescent="0.4">
      <c r="A52" s="8">
        <v>46239</v>
      </c>
      <c r="B52" s="9" t="s">
        <v>749</v>
      </c>
      <c r="C52" s="9" t="s">
        <v>750</v>
      </c>
      <c r="D52" s="9" t="s">
        <v>751</v>
      </c>
      <c r="E52" s="10">
        <v>4</v>
      </c>
      <c r="F52" s="11">
        <v>59</v>
      </c>
      <c r="G52" s="11">
        <v>236</v>
      </c>
      <c r="H52" s="12" t="s">
        <v>752</v>
      </c>
      <c r="I52" s="9" t="s">
        <v>753</v>
      </c>
      <c r="J52" s="12" t="s">
        <v>754</v>
      </c>
      <c r="K52" s="11">
        <v>0</v>
      </c>
      <c r="L52" s="12" t="s">
        <v>755</v>
      </c>
      <c r="M52" s="9"/>
    </row>
    <row r="53" spans="1:13" ht="14.25" x14ac:dyDescent="0.4">
      <c r="A53" s="8">
        <v>46235</v>
      </c>
      <c r="B53" s="9" t="s">
        <v>756</v>
      </c>
      <c r="C53" s="9" t="s">
        <v>757</v>
      </c>
      <c r="D53" s="9" t="s">
        <v>758</v>
      </c>
      <c r="E53" s="10">
        <v>4</v>
      </c>
      <c r="F53" s="11">
        <v>39</v>
      </c>
      <c r="G53" s="11">
        <v>156</v>
      </c>
      <c r="H53" s="12" t="s">
        <v>759</v>
      </c>
      <c r="I53" s="9" t="s">
        <v>760</v>
      </c>
      <c r="J53" s="12" t="s">
        <v>761</v>
      </c>
      <c r="K53" s="11">
        <v>0</v>
      </c>
      <c r="L53" s="12" t="s">
        <v>762</v>
      </c>
      <c r="M53" s="9"/>
    </row>
    <row r="54" spans="1:13" ht="14.25" x14ac:dyDescent="0.4">
      <c r="A54" s="8">
        <v>46279</v>
      </c>
      <c r="B54" s="9" t="s">
        <v>763</v>
      </c>
      <c r="C54" s="9" t="s">
        <v>764</v>
      </c>
      <c r="D54" s="9" t="s">
        <v>765</v>
      </c>
      <c r="E54" s="10">
        <v>1</v>
      </c>
      <c r="F54" s="11">
        <v>149</v>
      </c>
      <c r="G54" s="11">
        <v>149</v>
      </c>
      <c r="H54" s="12" t="s">
        <v>766</v>
      </c>
      <c r="I54" s="9" t="s">
        <v>767</v>
      </c>
      <c r="J54" s="12" t="s">
        <v>768</v>
      </c>
      <c r="K54" s="11">
        <v>0</v>
      </c>
      <c r="L54" s="12" t="s">
        <v>769</v>
      </c>
      <c r="M54" s="9"/>
    </row>
    <row r="55" spans="1:13" ht="14.25" x14ac:dyDescent="0.4">
      <c r="A55" s="8">
        <v>46283</v>
      </c>
      <c r="B55" s="9" t="s">
        <v>770</v>
      </c>
      <c r="C55" s="9" t="s">
        <v>771</v>
      </c>
      <c r="D55" s="9" t="s">
        <v>772</v>
      </c>
      <c r="E55" s="10">
        <v>2</v>
      </c>
      <c r="F55" s="11">
        <v>129</v>
      </c>
      <c r="G55" s="11">
        <v>258</v>
      </c>
      <c r="H55" s="12" t="s">
        <v>773</v>
      </c>
      <c r="I55" s="9" t="s">
        <v>774</v>
      </c>
      <c r="J55" s="12" t="s">
        <v>775</v>
      </c>
      <c r="K55" s="11">
        <v>0</v>
      </c>
      <c r="L55" s="12" t="s">
        <v>776</v>
      </c>
      <c r="M55" s="9"/>
    </row>
    <row r="56" spans="1:13" ht="14.25" x14ac:dyDescent="0.4">
      <c r="A56" s="8">
        <v>46271</v>
      </c>
      <c r="B56" s="9" t="s">
        <v>777</v>
      </c>
      <c r="C56" s="9" t="s">
        <v>778</v>
      </c>
      <c r="D56" s="9" t="s">
        <v>779</v>
      </c>
      <c r="E56" s="10">
        <v>3</v>
      </c>
      <c r="F56" s="11">
        <v>49</v>
      </c>
      <c r="G56" s="11">
        <v>147</v>
      </c>
      <c r="H56" s="12" t="s">
        <v>780</v>
      </c>
      <c r="I56" s="9" t="s">
        <v>781</v>
      </c>
      <c r="J56" s="12" t="s">
        <v>782</v>
      </c>
      <c r="K56" s="11">
        <v>0</v>
      </c>
      <c r="L56" s="12" t="s">
        <v>783</v>
      </c>
      <c r="M56" s="9"/>
    </row>
    <row r="57" spans="1:13" ht="14.25" x14ac:dyDescent="0.4">
      <c r="A57" s="8">
        <v>46248</v>
      </c>
      <c r="B57" s="9" t="s">
        <v>784</v>
      </c>
      <c r="C57" s="9" t="s">
        <v>785</v>
      </c>
      <c r="D57" s="9" t="s">
        <v>786</v>
      </c>
      <c r="E57" s="10">
        <v>1</v>
      </c>
      <c r="F57" s="11">
        <v>59</v>
      </c>
      <c r="G57" s="11">
        <v>59</v>
      </c>
      <c r="H57" s="12" t="s">
        <v>787</v>
      </c>
      <c r="I57" s="9" t="s">
        <v>788</v>
      </c>
      <c r="J57" s="12" t="s">
        <v>789</v>
      </c>
      <c r="K57" s="11">
        <v>0</v>
      </c>
      <c r="L57" s="12" t="s">
        <v>790</v>
      </c>
      <c r="M57" s="9"/>
    </row>
    <row r="58" spans="1:13" ht="14.25" x14ac:dyDescent="0.4">
      <c r="A58" s="8">
        <v>46254</v>
      </c>
      <c r="B58" s="9" t="s">
        <v>791</v>
      </c>
      <c r="C58" s="9" t="s">
        <v>792</v>
      </c>
      <c r="D58" s="9" t="s">
        <v>793</v>
      </c>
      <c r="E58" s="10">
        <v>1</v>
      </c>
      <c r="F58" s="11">
        <v>199</v>
      </c>
      <c r="G58" s="11">
        <v>199</v>
      </c>
      <c r="H58" s="12" t="s">
        <v>794</v>
      </c>
      <c r="I58" s="9" t="s">
        <v>795</v>
      </c>
      <c r="J58" s="12" t="s">
        <v>796</v>
      </c>
      <c r="K58" s="11">
        <v>0</v>
      </c>
      <c r="L58" s="12" t="s">
        <v>797</v>
      </c>
      <c r="M58" s="9"/>
    </row>
    <row r="59" spans="1:13" ht="14.25" x14ac:dyDescent="0.4">
      <c r="A59" s="8">
        <v>46208</v>
      </c>
      <c r="B59" s="9" t="s">
        <v>798</v>
      </c>
      <c r="C59" s="9" t="s">
        <v>799</v>
      </c>
      <c r="D59" s="9" t="s">
        <v>800</v>
      </c>
      <c r="E59" s="10">
        <v>2</v>
      </c>
      <c r="F59" s="11">
        <v>89</v>
      </c>
      <c r="G59" s="11">
        <v>178</v>
      </c>
      <c r="H59" s="12" t="s">
        <v>801</v>
      </c>
      <c r="I59" s="9" t="s">
        <v>802</v>
      </c>
      <c r="J59" s="12" t="s">
        <v>803</v>
      </c>
      <c r="K59" s="11">
        <v>0</v>
      </c>
      <c r="L59" s="12" t="s">
        <v>804</v>
      </c>
      <c r="M59" s="9" t="s">
        <v>805</v>
      </c>
    </row>
  </sheetData>
  <autoFilter ref="A1:M59" xr:uid="{94388E75-34ED-426F-BBEE-0C2022D59C5E}"/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E1136-8415-4455-8C6B-3FAC9F43D40E}">
  <sheetPr>
    <outlinePr summaryBelow="0" summaryRight="0"/>
  </sheetPr>
  <dimension ref="A1:K22"/>
  <sheetViews>
    <sheetView workbookViewId="0">
      <pane ySplit="1" topLeftCell="A2" activePane="bottomLeft" state="frozen"/>
      <selection pane="bottomLeft" activeCell="B5" sqref="B5"/>
    </sheetView>
  </sheetViews>
  <sheetFormatPr defaultColWidth="8" defaultRowHeight="13.9" x14ac:dyDescent="0.4"/>
  <cols>
    <col min="1" max="1" width="12" customWidth="1"/>
    <col min="2" max="2" width="11" customWidth="1"/>
    <col min="3" max="3" width="14" customWidth="1"/>
    <col min="4" max="4" width="46" customWidth="1"/>
    <col min="5" max="5" width="18" customWidth="1"/>
    <col min="6" max="6" width="34" customWidth="1"/>
  </cols>
  <sheetData>
    <row r="1" spans="1:6" x14ac:dyDescent="0.4">
      <c r="A1" s="13" t="s">
        <v>806</v>
      </c>
      <c r="B1" s="13" t="s">
        <v>807</v>
      </c>
      <c r="C1" s="13" t="s">
        <v>808</v>
      </c>
      <c r="D1" s="13" t="s">
        <v>809</v>
      </c>
      <c r="E1" s="13" t="s">
        <v>810</v>
      </c>
      <c r="F1" s="13" t="s">
        <v>811</v>
      </c>
    </row>
    <row r="2" spans="1:6" ht="14.25" x14ac:dyDescent="0.4">
      <c r="A2" s="14" t="s">
        <v>812</v>
      </c>
      <c r="B2" s="14" t="s">
        <v>813</v>
      </c>
      <c r="C2" s="15" t="s">
        <v>814</v>
      </c>
      <c r="D2" s="15" t="s">
        <v>815</v>
      </c>
      <c r="E2" s="15" t="s">
        <v>816</v>
      </c>
      <c r="F2" s="15" t="s">
        <v>817</v>
      </c>
    </row>
    <row r="3" spans="1:6" ht="14.25" x14ac:dyDescent="0.4">
      <c r="A3" s="14" t="s">
        <v>818</v>
      </c>
      <c r="B3" s="14" t="s">
        <v>819</v>
      </c>
      <c r="C3" s="15" t="s">
        <v>820</v>
      </c>
      <c r="D3" s="15" t="s">
        <v>821</v>
      </c>
      <c r="E3" s="15" t="s">
        <v>822</v>
      </c>
      <c r="F3" s="15" t="s">
        <v>823</v>
      </c>
    </row>
    <row r="4" spans="1:6" ht="14.25" x14ac:dyDescent="0.4">
      <c r="A4" s="14" t="s">
        <v>824</v>
      </c>
      <c r="B4" s="14" t="s">
        <v>825</v>
      </c>
      <c r="C4" s="15" t="s">
        <v>826</v>
      </c>
      <c r="D4" s="15" t="s">
        <v>827</v>
      </c>
      <c r="E4" s="15" t="s">
        <v>828</v>
      </c>
      <c r="F4" s="15" t="s">
        <v>829</v>
      </c>
    </row>
    <row r="5" spans="1:6" ht="14.25" x14ac:dyDescent="0.4">
      <c r="A5" s="14" t="s">
        <v>830</v>
      </c>
      <c r="B5" s="14" t="s">
        <v>952</v>
      </c>
      <c r="C5" s="15" t="s">
        <v>831</v>
      </c>
      <c r="D5" s="15" t="s">
        <v>832</v>
      </c>
      <c r="E5" s="15" t="s">
        <v>833</v>
      </c>
      <c r="F5" s="15" t="s">
        <v>834</v>
      </c>
    </row>
    <row r="6" spans="1:6" ht="14.25" x14ac:dyDescent="0.4">
      <c r="A6" s="14" t="s">
        <v>835</v>
      </c>
      <c r="B6" s="14" t="s">
        <v>836</v>
      </c>
      <c r="C6" s="15" t="s">
        <v>837</v>
      </c>
      <c r="D6" s="15" t="s">
        <v>838</v>
      </c>
      <c r="E6" s="15" t="s">
        <v>839</v>
      </c>
      <c r="F6" s="15" t="s">
        <v>840</v>
      </c>
    </row>
    <row r="7" spans="1:6" ht="14.25" x14ac:dyDescent="0.4">
      <c r="A7" s="14" t="s">
        <v>841</v>
      </c>
      <c r="B7" s="14" t="s">
        <v>842</v>
      </c>
      <c r="C7" s="15" t="s">
        <v>843</v>
      </c>
      <c r="D7" s="15" t="s">
        <v>844</v>
      </c>
      <c r="E7" s="15" t="s">
        <v>845</v>
      </c>
      <c r="F7" s="15" t="s">
        <v>846</v>
      </c>
    </row>
    <row r="8" spans="1:6" ht="14.25" x14ac:dyDescent="0.4">
      <c r="A8" s="14" t="s">
        <v>847</v>
      </c>
      <c r="B8" s="14" t="s">
        <v>848</v>
      </c>
      <c r="C8" s="15" t="s">
        <v>849</v>
      </c>
      <c r="D8" s="15" t="s">
        <v>850</v>
      </c>
      <c r="E8" s="15" t="s">
        <v>851</v>
      </c>
      <c r="F8" s="15" t="s">
        <v>852</v>
      </c>
    </row>
    <row r="9" spans="1:6" ht="14.25" x14ac:dyDescent="0.4">
      <c r="A9" s="14" t="s">
        <v>853</v>
      </c>
      <c r="B9" s="14" t="s">
        <v>854</v>
      </c>
      <c r="C9" s="15" t="s">
        <v>855</v>
      </c>
      <c r="D9" s="15" t="s">
        <v>856</v>
      </c>
      <c r="E9" s="15" t="s">
        <v>857</v>
      </c>
      <c r="F9" s="15" t="s">
        <v>858</v>
      </c>
    </row>
    <row r="10" spans="1:6" ht="14.25" x14ac:dyDescent="0.4">
      <c r="A10" s="14" t="s">
        <v>859</v>
      </c>
      <c r="B10" s="14" t="s">
        <v>860</v>
      </c>
      <c r="C10" s="15" t="s">
        <v>861</v>
      </c>
      <c r="D10" s="15" t="s">
        <v>862</v>
      </c>
      <c r="E10" s="15" t="s">
        <v>863</v>
      </c>
      <c r="F10" s="15" t="s">
        <v>864</v>
      </c>
    </row>
    <row r="11" spans="1:6" ht="14.25" x14ac:dyDescent="0.4">
      <c r="A11" s="14" t="s">
        <v>865</v>
      </c>
      <c r="B11" s="14" t="s">
        <v>866</v>
      </c>
      <c r="C11" s="15" t="s">
        <v>867</v>
      </c>
      <c r="D11" s="15" t="s">
        <v>868</v>
      </c>
      <c r="E11" s="15" t="s">
        <v>869</v>
      </c>
      <c r="F11" s="15" t="s">
        <v>870</v>
      </c>
    </row>
    <row r="21" spans="3:11" ht="14.25" x14ac:dyDescent="0.4">
      <c r="C21" s="3"/>
      <c r="D21" s="3"/>
      <c r="E21" s="4"/>
      <c r="F21" s="5"/>
      <c r="G21" s="5"/>
      <c r="H21" s="6"/>
      <c r="I21" s="3"/>
      <c r="J21" s="6"/>
      <c r="K21" s="5"/>
    </row>
    <row r="22" spans="3:11" ht="14.25" x14ac:dyDescent="0.4">
      <c r="C22" s="3"/>
      <c r="D22" s="3"/>
      <c r="E22" s="4"/>
      <c r="F22" s="5"/>
      <c r="G22" s="5"/>
      <c r="H22" s="6"/>
      <c r="I22" s="3"/>
      <c r="J22" s="6"/>
      <c r="K22" s="5"/>
    </row>
  </sheetData>
  <phoneticPr fontId="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0C81C-FBAF-4A62-965C-5F452AAC2AC7}">
  <sheetPr>
    <outlinePr summaryBelow="0" summaryRight="0"/>
  </sheetPr>
  <dimension ref="A1:G39"/>
  <sheetViews>
    <sheetView workbookViewId="0">
      <selection activeCell="E1" sqref="E1"/>
    </sheetView>
  </sheetViews>
  <sheetFormatPr defaultColWidth="8" defaultRowHeight="13.9" x14ac:dyDescent="0.4"/>
  <cols>
    <col min="1" max="1" width="14" customWidth="1"/>
    <col min="2" max="3" width="9" customWidth="1"/>
    <col min="4" max="5" width="12" customWidth="1"/>
    <col min="6" max="6" width="9" customWidth="1"/>
    <col min="7" max="7" width="10" customWidth="1"/>
  </cols>
  <sheetData>
    <row r="1" spans="1:7" ht="16.5" x14ac:dyDescent="0.45">
      <c r="A1" s="16" t="s">
        <v>871</v>
      </c>
    </row>
    <row r="3" spans="1:7" ht="15" x14ac:dyDescent="0.4">
      <c r="A3" s="17" t="s">
        <v>872</v>
      </c>
    </row>
    <row r="4" spans="1:7" x14ac:dyDescent="0.4">
      <c r="A4" s="18" t="s">
        <v>873</v>
      </c>
      <c r="B4" s="18" t="s">
        <v>874</v>
      </c>
      <c r="C4" s="18" t="s">
        <v>875</v>
      </c>
      <c r="D4" s="18" t="s">
        <v>876</v>
      </c>
      <c r="E4" s="18" t="s">
        <v>877</v>
      </c>
      <c r="F4" s="18" t="s">
        <v>878</v>
      </c>
      <c r="G4" s="18" t="s">
        <v>879</v>
      </c>
    </row>
    <row r="5" spans="1:7" ht="14.25" x14ac:dyDescent="0.45">
      <c r="A5" s="19" t="s">
        <v>880</v>
      </c>
      <c r="B5" s="19">
        <f>COUNTIF(清洗规整数据!$C$2:$C$59,$A5)</f>
        <v>10</v>
      </c>
      <c r="C5" s="20">
        <f>SUMIF(清洗规整数据!$C$2:$C$59,$A5,清洗规整数据!$E$2:$E$59)</f>
        <v>23</v>
      </c>
      <c r="D5" s="21">
        <f>SUMIF(清洗规整数据!$C$2:$C$59,$A5,清洗规整数据!$G$2:$G$59)</f>
        <v>2637</v>
      </c>
      <c r="E5" s="21">
        <f>SUMIFS(清洗规整数据!$K$2:$K$59,清洗规整数据!$C$2:$C$59,$A5)</f>
        <v>715.6</v>
      </c>
      <c r="F5" s="21">
        <f t="shared" ref="F5:F11" si="0">IF(D5=0,0,E5/D5)</f>
        <v>0.27136897990140313</v>
      </c>
      <c r="G5" s="21">
        <f t="shared" ref="G5:G11" si="1">IF(B5=0,0,D5/B5)</f>
        <v>263.7</v>
      </c>
    </row>
    <row r="6" spans="1:7" ht="14.25" x14ac:dyDescent="0.45">
      <c r="A6" s="19" t="s">
        <v>881</v>
      </c>
      <c r="B6" s="19">
        <f>COUNTIF(清洗规整数据!$C$2:$C$59,$A6)</f>
        <v>14</v>
      </c>
      <c r="C6" s="20">
        <f>SUMIF(清洗规整数据!$C$2:$C$59,$A6,清洗规整数据!$E$2:$E$59)</f>
        <v>35</v>
      </c>
      <c r="D6" s="21">
        <f>SUMIF(清洗规整数据!$C$2:$C$59,$A6,清洗规整数据!$G$2:$G$59)</f>
        <v>4085</v>
      </c>
      <c r="E6" s="21">
        <f>SUMIFS(清洗规整数据!$K$2:$K$59,清洗规整数据!$C$2:$C$59,$A6)</f>
        <v>750.5</v>
      </c>
      <c r="F6" s="21">
        <f t="shared" si="0"/>
        <v>0.18372093023255814</v>
      </c>
      <c r="G6" s="21">
        <f t="shared" si="1"/>
        <v>291.78571428571428</v>
      </c>
    </row>
    <row r="7" spans="1:7" ht="14.25" x14ac:dyDescent="0.45">
      <c r="A7" s="19" t="s">
        <v>882</v>
      </c>
      <c r="B7" s="19">
        <f>COUNTIF(清洗规整数据!$C$2:$C$59,$A7)</f>
        <v>5</v>
      </c>
      <c r="C7" s="20">
        <f>SUMIF(清洗规整数据!$C$2:$C$59,$A7,清洗规整数据!$E$2:$E$59)</f>
        <v>10</v>
      </c>
      <c r="D7" s="21">
        <f>SUMIF(清洗规整数据!$C$2:$C$59,$A7,清洗规整数据!$G$2:$G$59)</f>
        <v>1430</v>
      </c>
      <c r="E7" s="21">
        <f>SUMIFS(清洗规整数据!$K$2:$K$59,清洗规整数据!$C$2:$C$59,$A7)</f>
        <v>0</v>
      </c>
      <c r="F7" s="21">
        <f t="shared" si="0"/>
        <v>0</v>
      </c>
      <c r="G7" s="21">
        <f t="shared" si="1"/>
        <v>286</v>
      </c>
    </row>
    <row r="8" spans="1:7" ht="14.25" x14ac:dyDescent="0.45">
      <c r="A8" s="19" t="s">
        <v>883</v>
      </c>
      <c r="B8" s="19">
        <f>COUNTIF(清洗规整数据!$C$2:$C$59,$A8)</f>
        <v>14</v>
      </c>
      <c r="C8" s="20">
        <f>SUMIF(清洗规整数据!$C$2:$C$59,$A8,清洗规整数据!$E$2:$E$59)</f>
        <v>31</v>
      </c>
      <c r="D8" s="21">
        <f>SUMIF(清洗规整数据!$C$2:$C$59,$A8,清洗规整数据!$G$2:$G$59)</f>
        <v>3829</v>
      </c>
      <c r="E8" s="21">
        <f>SUMIFS(清洗规整数据!$K$2:$K$59,清洗规整数据!$C$2:$C$59,$A8)</f>
        <v>78</v>
      </c>
      <c r="F8" s="21">
        <f t="shared" si="0"/>
        <v>2.0370854008879603E-2</v>
      </c>
      <c r="G8" s="21">
        <f t="shared" si="1"/>
        <v>273.5</v>
      </c>
    </row>
    <row r="9" spans="1:7" ht="14.25" x14ac:dyDescent="0.45">
      <c r="A9" s="19" t="s">
        <v>884</v>
      </c>
      <c r="B9" s="19">
        <f>COUNTIF(清洗规整数据!$C$2:$C$59,$A9)</f>
        <v>11</v>
      </c>
      <c r="C9" s="20">
        <f>SUMIF(清洗规整数据!$C$2:$C$59,$A9,清洗规整数据!$E$2:$E$59)</f>
        <v>27</v>
      </c>
      <c r="D9" s="21">
        <f>SUMIF(清洗规整数据!$C$2:$C$59,$A9,清洗规整数据!$G$2:$G$59)</f>
        <v>3063</v>
      </c>
      <c r="E9" s="21">
        <f>SUMIFS(清洗规整数据!$K$2:$K$59,清洗规整数据!$C$2:$C$59,$A9)</f>
        <v>0</v>
      </c>
      <c r="F9" s="21">
        <f t="shared" si="0"/>
        <v>0</v>
      </c>
      <c r="G9" s="21">
        <f t="shared" si="1"/>
        <v>278.45454545454544</v>
      </c>
    </row>
    <row r="10" spans="1:7" ht="14.25" x14ac:dyDescent="0.45">
      <c r="A10" s="19" t="s">
        <v>885</v>
      </c>
      <c r="B10" s="19">
        <f>COUNTIF(清洗规整数据!$C$2:$C$59,$A10)</f>
        <v>4</v>
      </c>
      <c r="C10" s="20">
        <f>SUMIF(清洗规整数据!$C$2:$C$59,$A10,清洗规整数据!$E$2:$E$59)</f>
        <v>9</v>
      </c>
      <c r="D10" s="21">
        <f>SUMIF(清洗规整数据!$C$2:$C$59,$A10,清洗规整数据!$G$2:$G$59)</f>
        <v>571</v>
      </c>
      <c r="E10" s="21">
        <f>SUMIFS(清洗规整数据!$K$2:$K$59,清洗规整数据!$C$2:$C$59,$A10)</f>
        <v>0</v>
      </c>
      <c r="F10" s="21">
        <f t="shared" si="0"/>
        <v>0</v>
      </c>
      <c r="G10" s="21">
        <f t="shared" si="1"/>
        <v>142.75</v>
      </c>
    </row>
    <row r="11" spans="1:7" x14ac:dyDescent="0.4">
      <c r="A11" s="22" t="s">
        <v>886</v>
      </c>
      <c r="B11" s="22">
        <f>SUM(B5:B10)</f>
        <v>58</v>
      </c>
      <c r="C11" s="22">
        <f>SUM(C5:C10)</f>
        <v>135</v>
      </c>
      <c r="D11" s="23">
        <f>SUM(D5:D10)</f>
        <v>15615</v>
      </c>
      <c r="E11" s="23">
        <f>SUM(E5:E10)</f>
        <v>1544.1</v>
      </c>
      <c r="F11" s="23">
        <f t="shared" si="0"/>
        <v>9.8885686839577325E-2</v>
      </c>
      <c r="G11" s="23">
        <f t="shared" si="1"/>
        <v>269.22413793103448</v>
      </c>
    </row>
    <row r="13" spans="1:7" ht="15" x14ac:dyDescent="0.4">
      <c r="A13" s="17" t="s">
        <v>887</v>
      </c>
    </row>
    <row r="14" spans="1:7" x14ac:dyDescent="0.4">
      <c r="A14" s="18" t="s">
        <v>888</v>
      </c>
      <c r="B14" s="18" t="s">
        <v>889</v>
      </c>
      <c r="C14" s="18" t="s">
        <v>890</v>
      </c>
      <c r="D14" s="18" t="s">
        <v>891</v>
      </c>
      <c r="E14" s="18" t="s">
        <v>892</v>
      </c>
      <c r="F14" s="18" t="s">
        <v>893</v>
      </c>
      <c r="G14" s="18" t="s">
        <v>894</v>
      </c>
    </row>
    <row r="15" spans="1:7" ht="14.25" x14ac:dyDescent="0.45">
      <c r="A15" s="19" t="s">
        <v>895</v>
      </c>
      <c r="B15" s="19">
        <f>COUNTIF(清洗规整数据!$D$2:$D$59,$A15)</f>
        <v>7</v>
      </c>
      <c r="C15" s="20">
        <f>SUMIF(清洗规整数据!$D$2:$D$59,$A15,清洗规整数据!$E$2:$E$59)</f>
        <v>18</v>
      </c>
      <c r="D15" s="21">
        <f>SUMIF(清洗规整数据!$D$2:$D$59,$A15,清洗规整数据!$G$2:$G$59)</f>
        <v>1602</v>
      </c>
      <c r="E15" s="21">
        <f>SUMIFS(清洗规整数据!$K$2:$K$59,清洗规整数据!$D$2:$D$59,$A15)</f>
        <v>89</v>
      </c>
      <c r="F15" s="21">
        <f t="shared" ref="F15:F23" si="2">IF(D15=0,0,E15/D15)</f>
        <v>5.5555555555555552E-2</v>
      </c>
      <c r="G15" s="21">
        <f t="shared" ref="G15:G23" si="3">IF(B15=0,0,D15/B15)</f>
        <v>228.85714285714286</v>
      </c>
    </row>
    <row r="16" spans="1:7" ht="14.25" x14ac:dyDescent="0.45">
      <c r="A16" s="19" t="s">
        <v>896</v>
      </c>
      <c r="B16" s="19">
        <f>COUNTIF(清洗规整数据!$D$2:$D$59,$A16)</f>
        <v>11</v>
      </c>
      <c r="C16" s="20">
        <f>SUMIF(清洗规整数据!$D$2:$D$59,$A16,清洗规整数据!$E$2:$E$59)</f>
        <v>24</v>
      </c>
      <c r="D16" s="21">
        <f>SUMIF(清洗规整数据!$D$2:$D$59,$A16,清洗规整数据!$G$2:$G$59)</f>
        <v>4776</v>
      </c>
      <c r="E16" s="21">
        <f>SUMIFS(清洗规整数据!$K$2:$K$59,清洗规整数据!$D$2:$D$59,$A16)</f>
        <v>676.6</v>
      </c>
      <c r="F16" s="21">
        <f t="shared" si="2"/>
        <v>0.14166666666666666</v>
      </c>
      <c r="G16" s="21">
        <f t="shared" si="3"/>
        <v>434.18181818181819</v>
      </c>
    </row>
    <row r="17" spans="1:7" ht="14.25" x14ac:dyDescent="0.45">
      <c r="A17" s="19" t="s">
        <v>897</v>
      </c>
      <c r="B17" s="19">
        <f>COUNTIF(清洗规整数据!$D$2:$D$59,$A17)</f>
        <v>7</v>
      </c>
      <c r="C17" s="20">
        <f>SUMIF(清洗规整数据!$D$2:$D$59,$A17,清洗规整数据!$E$2:$E$59)</f>
        <v>13</v>
      </c>
      <c r="D17" s="21">
        <f>SUMIF(清洗规整数据!$D$2:$D$59,$A17,清洗规整数据!$G$2:$G$59)</f>
        <v>1677</v>
      </c>
      <c r="E17" s="21">
        <f>SUMIFS(清洗规整数据!$K$2:$K$59,清洗规整数据!$D$2:$D$59,$A17)</f>
        <v>0</v>
      </c>
      <c r="F17" s="21">
        <f t="shared" si="2"/>
        <v>0</v>
      </c>
      <c r="G17" s="21">
        <f t="shared" si="3"/>
        <v>239.57142857142858</v>
      </c>
    </row>
    <row r="18" spans="1:7" ht="14.25" x14ac:dyDescent="0.45">
      <c r="A18" s="19" t="s">
        <v>898</v>
      </c>
      <c r="B18" s="19">
        <f>COUNTIF(清洗规整数据!$D$2:$D$59,$A18)</f>
        <v>4</v>
      </c>
      <c r="C18" s="20">
        <f>SUMIF(清洗规整数据!$D$2:$D$59,$A18,清洗规整数据!$E$2:$E$59)</f>
        <v>9</v>
      </c>
      <c r="D18" s="21">
        <f>SUMIF(清洗规整数据!$D$2:$D$59,$A18,清洗规整数据!$G$2:$G$59)</f>
        <v>531</v>
      </c>
      <c r="E18" s="21">
        <f>SUMIFS(清洗规整数据!$K$2:$K$59,清洗规整数据!$D$2:$D$59,$A18)</f>
        <v>0</v>
      </c>
      <c r="F18" s="21">
        <f t="shared" si="2"/>
        <v>0</v>
      </c>
      <c r="G18" s="21">
        <f t="shared" si="3"/>
        <v>132.75</v>
      </c>
    </row>
    <row r="19" spans="1:7" ht="14.25" x14ac:dyDescent="0.45">
      <c r="A19" s="19" t="s">
        <v>899</v>
      </c>
      <c r="B19" s="19">
        <f>COUNTIF(清洗规整数据!$D$2:$D$59,$A19)</f>
        <v>9</v>
      </c>
      <c r="C19" s="20">
        <f>SUMIF(清洗规整数据!$D$2:$D$59,$A19,清洗规整数据!$E$2:$E$59)</f>
        <v>18</v>
      </c>
      <c r="D19" s="21">
        <f>SUMIF(清洗规整数据!$D$2:$D$59,$A19,清洗规整数据!$G$2:$G$59)</f>
        <v>2682</v>
      </c>
      <c r="E19" s="21">
        <f>SUMIFS(清洗规整数据!$K$2:$K$59,清洗规整数据!$D$2:$D$59,$A19)</f>
        <v>447</v>
      </c>
      <c r="F19" s="21">
        <f t="shared" si="2"/>
        <v>0.16666666666666666</v>
      </c>
      <c r="G19" s="21">
        <f t="shared" si="3"/>
        <v>298</v>
      </c>
    </row>
    <row r="20" spans="1:7" ht="14.25" x14ac:dyDescent="0.45">
      <c r="A20" s="19" t="s">
        <v>900</v>
      </c>
      <c r="B20" s="19">
        <f>COUNTIF(清洗规整数据!$D$2:$D$59,$A20)</f>
        <v>7</v>
      </c>
      <c r="C20" s="20">
        <f>SUMIF(清洗规整数据!$D$2:$D$59,$A20,清洗规整数据!$E$2:$E$59)</f>
        <v>16</v>
      </c>
      <c r="D20" s="21">
        <f>SUMIF(清洗规整数据!$D$2:$D$59,$A20,清洗规整数据!$G$2:$G$59)</f>
        <v>2704</v>
      </c>
      <c r="E20" s="21">
        <f>SUMIFS(清洗规整数据!$K$2:$K$59,清洗规整数据!$D$2:$D$59,$A20)</f>
        <v>253.5</v>
      </c>
      <c r="F20" s="21">
        <f t="shared" si="2"/>
        <v>9.375E-2</v>
      </c>
      <c r="G20" s="21">
        <f t="shared" si="3"/>
        <v>386.28571428571428</v>
      </c>
    </row>
    <row r="21" spans="1:7" ht="14.25" x14ac:dyDescent="0.45">
      <c r="A21" s="19" t="s">
        <v>901</v>
      </c>
      <c r="B21" s="19">
        <f>COUNTIF(清洗规整数据!$D$2:$D$59,$A21)</f>
        <v>6</v>
      </c>
      <c r="C21" s="20">
        <f>SUMIF(清洗规整数据!$D$2:$D$59,$A21,清洗规整数据!$E$2:$E$59)</f>
        <v>17</v>
      </c>
      <c r="D21" s="21">
        <f>SUMIF(清洗规整数据!$D$2:$D$59,$A21,清洗规整数据!$G$2:$G$59)</f>
        <v>663</v>
      </c>
      <c r="E21" s="21">
        <f>SUMIFS(清洗规整数据!$K$2:$K$59,清洗规整数据!$D$2:$D$59,$A21)</f>
        <v>78</v>
      </c>
      <c r="F21" s="21">
        <f t="shared" si="2"/>
        <v>0.11764705882352941</v>
      </c>
      <c r="G21" s="21">
        <f t="shared" si="3"/>
        <v>110.5</v>
      </c>
    </row>
    <row r="22" spans="1:7" ht="14.25" x14ac:dyDescent="0.45">
      <c r="A22" s="19" t="s">
        <v>902</v>
      </c>
      <c r="B22" s="19">
        <f>COUNTIF(清洗规整数据!$D$2:$D$59,$A22)</f>
        <v>7</v>
      </c>
      <c r="C22" s="20">
        <f>SUMIF(清洗规整数据!$D$2:$D$59,$A22,清洗规整数据!$E$2:$E$59)</f>
        <v>20</v>
      </c>
      <c r="D22" s="21">
        <f>SUMIF(清洗规整数据!$D$2:$D$59,$A22,清洗规整数据!$G$2:$G$59)</f>
        <v>980</v>
      </c>
      <c r="E22" s="21">
        <f>SUMIFS(清洗规整数据!$K$2:$K$59,清洗规整数据!$D$2:$D$59,$A22)</f>
        <v>0</v>
      </c>
      <c r="F22" s="21">
        <f t="shared" si="2"/>
        <v>0</v>
      </c>
      <c r="G22" s="21">
        <f t="shared" si="3"/>
        <v>140</v>
      </c>
    </row>
    <row r="23" spans="1:7" x14ac:dyDescent="0.4">
      <c r="A23" s="22" t="s">
        <v>903</v>
      </c>
      <c r="B23" s="22">
        <f>SUM(B15:B22)</f>
        <v>58</v>
      </c>
      <c r="C23" s="22">
        <f>SUM(C15:C22)</f>
        <v>135</v>
      </c>
      <c r="D23" s="23">
        <f>SUM(D15:D22)</f>
        <v>15615</v>
      </c>
      <c r="E23" s="23">
        <f>SUM(E15:E22)</f>
        <v>1544.1</v>
      </c>
      <c r="F23" s="23">
        <f t="shared" si="2"/>
        <v>9.8885686839577325E-2</v>
      </c>
      <c r="G23" s="23">
        <f t="shared" si="3"/>
        <v>269.22413793103448</v>
      </c>
    </row>
    <row r="25" spans="1:7" ht="15" x14ac:dyDescent="0.4">
      <c r="A25" s="17" t="s">
        <v>904</v>
      </c>
    </row>
    <row r="26" spans="1:7" x14ac:dyDescent="0.4">
      <c r="A26" s="18" t="s">
        <v>905</v>
      </c>
      <c r="B26" s="18" t="s">
        <v>906</v>
      </c>
      <c r="C26" s="18" t="s">
        <v>907</v>
      </c>
      <c r="D26" s="18" t="s">
        <v>908</v>
      </c>
      <c r="E26" s="18" t="s">
        <v>909</v>
      </c>
      <c r="F26" s="18" t="s">
        <v>910</v>
      </c>
      <c r="G26" s="18" t="s">
        <v>911</v>
      </c>
    </row>
    <row r="27" spans="1:7" ht="14.25" x14ac:dyDescent="0.45">
      <c r="A27" s="19" t="s">
        <v>912</v>
      </c>
      <c r="B27" s="19">
        <f>COUNTIF(清洗规整数据!$L$2:$L$59,$A27)</f>
        <v>14</v>
      </c>
      <c r="C27" s="20">
        <f>SUMIF(清洗规整数据!$L$2:$L$59,$A27,清洗规整数据!$E$2:$E$59)</f>
        <v>25</v>
      </c>
      <c r="D27" s="21">
        <f>SUMIF(清洗规整数据!$L$2:$L$59,$A27,清洗规整数据!$G$2:$G$59)</f>
        <v>3795</v>
      </c>
      <c r="E27" s="21">
        <f>SUMIFS(清洗规整数据!$K$2:$K$59,清洗规整数据!$L$2:$L$59,$A27)</f>
        <v>586</v>
      </c>
      <c r="F27" s="21">
        <f>IF(D27=0,0,E27/D27)</f>
        <v>0.1544137022397892</v>
      </c>
      <c r="G27" s="21">
        <f>IF(B27=0,0,D27/B27)</f>
        <v>271.07142857142856</v>
      </c>
    </row>
    <row r="28" spans="1:7" ht="14.25" x14ac:dyDescent="0.45">
      <c r="A28" s="19" t="s">
        <v>913</v>
      </c>
      <c r="B28" s="19">
        <f>COUNTIF(清洗规整数据!$L$2:$L$59,$A28)</f>
        <v>24</v>
      </c>
      <c r="C28" s="20">
        <f>SUMIF(清洗规整数据!$L$2:$L$59,$A28,清洗规整数据!$E$2:$E$59)</f>
        <v>61</v>
      </c>
      <c r="D28" s="21">
        <f>SUMIF(清洗规整数据!$L$2:$L$59,$A28,清洗规整数据!$G$2:$G$59)</f>
        <v>6209</v>
      </c>
      <c r="E28" s="21">
        <f>SUMIFS(清洗规整数据!$K$2:$K$59,清洗规整数据!$L$2:$L$59,$A28)</f>
        <v>0</v>
      </c>
      <c r="F28" s="21">
        <f>IF(D28=0,0,E28/D28)</f>
        <v>0</v>
      </c>
      <c r="G28" s="21">
        <f>IF(B28=0,0,D28/B28)</f>
        <v>258.70833333333331</v>
      </c>
    </row>
    <row r="29" spans="1:7" ht="14.25" x14ac:dyDescent="0.45">
      <c r="A29" s="19" t="s">
        <v>914</v>
      </c>
      <c r="B29" s="19">
        <f>COUNTIF(清洗规整数据!$L$2:$L$59,$A29)</f>
        <v>20</v>
      </c>
      <c r="C29" s="20">
        <f>SUMIF(清洗规整数据!$L$2:$L$59,$A29,清洗规整数据!$E$2:$E$59)</f>
        <v>49</v>
      </c>
      <c r="D29" s="21">
        <f>SUMIF(清洗规整数据!$L$2:$L$59,$A29,清洗规整数据!$G$2:$G$59)</f>
        <v>5611</v>
      </c>
      <c r="E29" s="21">
        <f>SUMIFS(清洗规整数据!$K$2:$K$59,清洗规整数据!$L$2:$L$59,$A29)</f>
        <v>958.1</v>
      </c>
      <c r="F29" s="21">
        <f>IF(D29=0,0,E29/D29)</f>
        <v>0.17075387631438246</v>
      </c>
      <c r="G29" s="21">
        <f>IF(B29=0,0,D29/B29)</f>
        <v>280.55</v>
      </c>
    </row>
    <row r="30" spans="1:7" x14ac:dyDescent="0.4">
      <c r="A30" s="22" t="s">
        <v>915</v>
      </c>
      <c r="B30" s="22">
        <f>SUM(B27:B29)</f>
        <v>58</v>
      </c>
      <c r="C30" s="22">
        <f>SUM(C27:C29)</f>
        <v>135</v>
      </c>
      <c r="D30" s="23">
        <f>SUM(D27:D29)</f>
        <v>15615</v>
      </c>
      <c r="E30" s="23">
        <f>SUM(E27:E29)</f>
        <v>1544.1</v>
      </c>
      <c r="F30" s="23">
        <f>IF(D30=0,0,E30/D30)</f>
        <v>9.8885686839577325E-2</v>
      </c>
      <c r="G30" s="23">
        <f>IF(B30=0,0,D30/B30)</f>
        <v>269.22413793103448</v>
      </c>
    </row>
    <row r="32" spans="1:7" ht="15" x14ac:dyDescent="0.4">
      <c r="A32" s="17" t="s">
        <v>916</v>
      </c>
    </row>
    <row r="33" spans="1:4" x14ac:dyDescent="0.4">
      <c r="A33" s="18" t="s">
        <v>917</v>
      </c>
      <c r="B33" s="18" t="s">
        <v>918</v>
      </c>
      <c r="C33" s="18" t="s">
        <v>919</v>
      </c>
      <c r="D33" s="18" t="s">
        <v>920</v>
      </c>
    </row>
    <row r="34" spans="1:4" ht="14.25" x14ac:dyDescent="0.4">
      <c r="A34" s="19" t="s">
        <v>921</v>
      </c>
      <c r="B34" s="19">
        <f>COUNTIF(清洗规整数据!$I$2:$I$59,$A34)</f>
        <v>8</v>
      </c>
      <c r="C34" s="21">
        <f>SUMIF(清洗规整数据!$I$2:$I$59,$A34,清洗规整数据!$G$2:$G$59)</f>
        <v>1714</v>
      </c>
      <c r="D34" s="24" t="str">
        <f ca="1">IF(SUM(C33:D34)=0,0,C34/SUM(C33:D34))</f>
        <v/>
      </c>
    </row>
    <row r="35" spans="1:4" ht="14.25" x14ac:dyDescent="0.4">
      <c r="A35" s="19" t="s">
        <v>922</v>
      </c>
      <c r="B35" s="19">
        <f>COUNTIF(清洗规整数据!$I$2:$I$59,$A35)</f>
        <v>10</v>
      </c>
      <c r="C35" s="21">
        <f>SUMIF(清洗规整数据!$I$2:$I$59,$A35,清洗规整数据!$G$2:$G$59)</f>
        <v>2589</v>
      </c>
      <c r="D35" s="24">
        <f>IF(SUM($C$34)=0,0,C35/SUM($C$34))</f>
        <v>1.5105017502917153</v>
      </c>
    </row>
    <row r="36" spans="1:4" ht="14.25" x14ac:dyDescent="0.4">
      <c r="A36" s="19" t="s">
        <v>923</v>
      </c>
      <c r="B36" s="19">
        <f>COUNTIF(清洗规整数据!$I$2:$I$59,$A36)</f>
        <v>12</v>
      </c>
      <c r="C36" s="21">
        <f>SUMIF(清洗规整数据!$I$2:$I$59,$A36,清洗规整数据!$G$2:$G$59)</f>
        <v>3302</v>
      </c>
      <c r="D36" s="24">
        <f>IF(SUM($C$34:$C$35)=0,0,C36/SUM($C$34:$C$35))</f>
        <v>0.76737160120845926</v>
      </c>
    </row>
    <row r="37" spans="1:4" ht="14.25" x14ac:dyDescent="0.4">
      <c r="A37" s="19" t="s">
        <v>924</v>
      </c>
      <c r="B37" s="19">
        <f>COUNTIF(清洗规整数据!$I$2:$I$59,$A37)</f>
        <v>9</v>
      </c>
      <c r="C37" s="21">
        <f>SUMIF(清洗规整数据!$I$2:$I$59,$A37,清洗规整数据!$G$2:$G$59)</f>
        <v>3008</v>
      </c>
      <c r="D37" s="24">
        <f>IF(SUM($C$34:$C$36)=0,0,C37/SUM($C$34:$C$36))</f>
        <v>0.39552925706771863</v>
      </c>
    </row>
    <row r="38" spans="1:4" ht="14.25" x14ac:dyDescent="0.4">
      <c r="A38" s="19" t="s">
        <v>925</v>
      </c>
      <c r="B38" s="19">
        <f>COUNTIF(清洗规整数据!$I$2:$I$59,$A38)</f>
        <v>19</v>
      </c>
      <c r="C38" s="21">
        <f>SUMIF(清洗规整数据!$I$2:$I$59,$A38,清洗规整数据!$G$2:$G$59)</f>
        <v>5002</v>
      </c>
      <c r="D38" s="24">
        <f>IF(SUM($C$34:$C$37)=0,0,C38/SUM($C$34:$C$37))</f>
        <v>0.47130877226043533</v>
      </c>
    </row>
    <row r="39" spans="1:4" x14ac:dyDescent="0.4">
      <c r="A39" s="22" t="s">
        <v>926</v>
      </c>
      <c r="B39" s="22">
        <f>SUM(B34:B38)</f>
        <v>58</v>
      </c>
      <c r="C39" s="23">
        <f>SUM(C34:C38)</f>
        <v>15615</v>
      </c>
      <c r="D39" s="25">
        <f>1</f>
        <v>1</v>
      </c>
    </row>
  </sheetData>
  <phoneticPr fontId="7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70D01-F72F-4DA0-A252-EA11104BD9C4}">
  <sheetPr>
    <outlinePr summaryBelow="0" summaryRight="0"/>
  </sheetPr>
  <dimension ref="A1:G21"/>
  <sheetViews>
    <sheetView tabSelected="1" workbookViewId="0"/>
  </sheetViews>
  <sheetFormatPr defaultColWidth="8" defaultRowHeight="13.9" x14ac:dyDescent="0.4"/>
  <cols>
    <col min="1" max="1" width="100" customWidth="1"/>
    <col min="2" max="7" width="12" customWidth="1"/>
  </cols>
  <sheetData>
    <row r="1" spans="1:7" ht="16.5" x14ac:dyDescent="0.45">
      <c r="A1" s="16" t="s">
        <v>927</v>
      </c>
    </row>
    <row r="2" spans="1:7" x14ac:dyDescent="0.4">
      <c r="A2" s="26" t="s">
        <v>928</v>
      </c>
    </row>
    <row r="4" spans="1:7" ht="15" x14ac:dyDescent="0.4">
      <c r="A4" s="17" t="s">
        <v>929</v>
      </c>
    </row>
    <row r="5" spans="1:7" x14ac:dyDescent="0.4">
      <c r="A5" s="27" t="s">
        <v>930</v>
      </c>
      <c r="B5" s="27" t="s">
        <v>931</v>
      </c>
      <c r="C5" s="27" t="s">
        <v>932</v>
      </c>
      <c r="D5" s="27" t="s">
        <v>933</v>
      </c>
      <c r="E5" s="27" t="s">
        <v>934</v>
      </c>
      <c r="F5" s="27" t="s">
        <v>935</v>
      </c>
      <c r="G5" s="27" t="s">
        <v>936</v>
      </c>
    </row>
    <row r="6" spans="1:7" ht="14.25" x14ac:dyDescent="0.4">
      <c r="A6" s="28" t="s">
        <v>937</v>
      </c>
      <c r="B6" s="28">
        <f>统计汇总台账!B27</f>
        <v>14</v>
      </c>
      <c r="C6" s="29">
        <f>统计汇总台账!C27</f>
        <v>25</v>
      </c>
      <c r="D6" s="30">
        <f>统计汇总台账!D27</f>
        <v>3795</v>
      </c>
      <c r="E6" s="30">
        <f>统计汇总台账!E27</f>
        <v>586</v>
      </c>
      <c r="F6" s="31">
        <f>统计汇总台账!F27</f>
        <v>0.1544137022397892</v>
      </c>
      <c r="G6" s="31">
        <f>统计汇总台账!G27</f>
        <v>271.07142857142856</v>
      </c>
    </row>
    <row r="7" spans="1:7" ht="14.25" x14ac:dyDescent="0.4">
      <c r="A7" s="28" t="s">
        <v>938</v>
      </c>
      <c r="B7" s="28">
        <f>统计汇总台账!B28</f>
        <v>24</v>
      </c>
      <c r="C7" s="29">
        <f>统计汇总台账!C28</f>
        <v>61</v>
      </c>
      <c r="D7" s="30">
        <f>统计汇总台账!D28</f>
        <v>6209</v>
      </c>
      <c r="E7" s="30">
        <f>统计汇总台账!E28</f>
        <v>0</v>
      </c>
      <c r="F7" s="31">
        <f>统计汇总台账!F28</f>
        <v>0</v>
      </c>
      <c r="G7" s="31">
        <f>统计汇总台账!G28</f>
        <v>258.70833333333331</v>
      </c>
    </row>
    <row r="8" spans="1:7" ht="14.25" x14ac:dyDescent="0.4">
      <c r="A8" s="28" t="s">
        <v>939</v>
      </c>
      <c r="B8" s="28">
        <f>统计汇总台账!B29</f>
        <v>20</v>
      </c>
      <c r="C8" s="29">
        <f>统计汇总台账!C29</f>
        <v>49</v>
      </c>
      <c r="D8" s="30">
        <f>统计汇总台账!D29</f>
        <v>5611</v>
      </c>
      <c r="E8" s="30">
        <f>统计汇总台账!E29</f>
        <v>958.1</v>
      </c>
      <c r="F8" s="31">
        <f>统计汇总台账!F29</f>
        <v>0.17075387631438246</v>
      </c>
      <c r="G8" s="31">
        <f>统计汇总台账!G29</f>
        <v>280.55</v>
      </c>
    </row>
    <row r="9" spans="1:7" ht="14.25" x14ac:dyDescent="0.45">
      <c r="A9" s="32" t="s">
        <v>940</v>
      </c>
      <c r="B9" s="31">
        <f>IF(统计汇总台账!B27=0,0,(统计汇总台账!B28-统计汇总台账!B27)/统计汇总台账!B27)</f>
        <v>0.7142857142857143</v>
      </c>
      <c r="C9" s="33"/>
      <c r="D9" s="31">
        <f>IF(统计汇总台账!D27=0,0,(统计汇总台账!D28-统计汇总台账!D27)/统计汇总台账!D27)</f>
        <v>0.63610013175230562</v>
      </c>
      <c r="E9" s="33"/>
      <c r="F9" s="31">
        <f>统计汇总台账!F28-统计汇总台账!F27</f>
        <v>-0.1544137022397892</v>
      </c>
      <c r="G9" s="33"/>
    </row>
    <row r="11" spans="1:7" ht="15" x14ac:dyDescent="0.4">
      <c r="A11" s="17" t="s">
        <v>941</v>
      </c>
    </row>
    <row r="12" spans="1:7" ht="14.25" x14ac:dyDescent="0.4">
      <c r="A12" s="34" t="s">
        <v>942</v>
      </c>
    </row>
    <row r="13" spans="1:7" ht="14.25" x14ac:dyDescent="0.4">
      <c r="A13" s="34" t="s">
        <v>943</v>
      </c>
    </row>
    <row r="14" spans="1:7" ht="14.25" x14ac:dyDescent="0.4">
      <c r="A14" s="34" t="s">
        <v>944</v>
      </c>
    </row>
    <row r="15" spans="1:7" ht="14.25" x14ac:dyDescent="0.4">
      <c r="A15" s="34" t="s">
        <v>945</v>
      </c>
    </row>
    <row r="17" spans="1:1" ht="15" x14ac:dyDescent="0.4">
      <c r="A17" s="17" t="s">
        <v>946</v>
      </c>
    </row>
    <row r="18" spans="1:1" ht="14.25" x14ac:dyDescent="0.4">
      <c r="A18" s="34" t="s">
        <v>947</v>
      </c>
    </row>
    <row r="19" spans="1:1" ht="14.25" x14ac:dyDescent="0.4">
      <c r="A19" s="34" t="s">
        <v>948</v>
      </c>
    </row>
    <row r="20" spans="1:1" ht="14.25" x14ac:dyDescent="0.4">
      <c r="A20" s="34" t="s">
        <v>949</v>
      </c>
    </row>
    <row r="21" spans="1:1" ht="14.25" x14ac:dyDescent="0.4">
      <c r="A21" s="34" t="s">
        <v>950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原始数据</vt:lpstr>
      <vt:lpstr>清洗规整数据</vt:lpstr>
      <vt:lpstr>异常数据</vt:lpstr>
      <vt:lpstr>统计汇总台账</vt:lpstr>
      <vt:lpstr>月度复盘分析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 sun</cp:lastModifiedBy>
  <dcterms:modified xsi:type="dcterms:W3CDTF">2026-10-19T08:27:36Z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{"Label":"1","ContentProducer":"001191110102MACQD9K64010000","ProduceID":"7698247484308901107","ReservedCode1":"","ContentPropagator":"","PropagateID":"","ReservedCode2":""}</vt:lpwstr>
  </property>
</Properties>
</file>